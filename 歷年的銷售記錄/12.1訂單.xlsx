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30" windowWidth="19395" windowHeight="7845"/>
  </bookViews>
  <sheets>
    <sheet name="工作表1" sheetId="1" r:id="rId1"/>
    <sheet name="工作表2" sheetId="2" r:id="rId2"/>
    <sheet name="工作表3" sheetId="3" r:id="rId3"/>
  </sheets>
  <calcPr calcId="145621"/>
</workbook>
</file>

<file path=xl/calcChain.xml><?xml version="1.0" encoding="utf-8"?>
<calcChain xmlns="http://schemas.openxmlformats.org/spreadsheetml/2006/main">
  <c r="S31" i="1" l="1"/>
  <c r="D31" i="1"/>
  <c r="E31" i="1"/>
  <c r="F31" i="1"/>
  <c r="G31" i="1"/>
  <c r="H31" i="1"/>
  <c r="I31" i="1"/>
  <c r="J31" i="1"/>
  <c r="K31" i="1"/>
  <c r="L31" i="1"/>
  <c r="M31" i="1"/>
  <c r="C31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2" i="1"/>
</calcChain>
</file>

<file path=xl/sharedStrings.xml><?xml version="1.0" encoding="utf-8"?>
<sst xmlns="http://schemas.openxmlformats.org/spreadsheetml/2006/main" count="93" uniqueCount="83">
  <si>
    <t>鄒芷縈</t>
  </si>
  <si>
    <t>zhiying.zhiying23@gmail.com</t>
  </si>
  <si>
    <t>覆盆子蘋果果醬, 覆盆子果醬</t>
  </si>
  <si>
    <t>林均恩</t>
  </si>
  <si>
    <t>s101402048@mail1.ncnu.edu.tw</t>
  </si>
  <si>
    <t>陳品任</t>
  </si>
  <si>
    <t>tim850711@gmail.com</t>
  </si>
  <si>
    <t>林昇儒</t>
  </si>
  <si>
    <t>s105402025@mail1.ncnu.edu.tw</t>
  </si>
  <si>
    <t>陳桂茹</t>
  </si>
  <si>
    <t>s105402513@mail1.ncnu.edu.tw</t>
  </si>
  <si>
    <t>覆盆子果醬</t>
  </si>
  <si>
    <t>余鎮綸</t>
  </si>
  <si>
    <t>inocencioyjl@gmail.com</t>
  </si>
  <si>
    <t>學生活動中心4F課外組</t>
  </si>
  <si>
    <t>蔓越莓蘋果果醬</t>
  </si>
  <si>
    <t>劉麗萍</t>
  </si>
  <si>
    <t>s102407051@mail1.ncnu.edu.tw</t>
  </si>
  <si>
    <t>台大語言所 (麻煩請謝舒凱老師外送 XD)</t>
  </si>
  <si>
    <t>覆盆子蘋果果醬</t>
  </si>
  <si>
    <t>張瑜芸</t>
  </si>
  <si>
    <t>yuyun.unita@gmail.com</t>
  </si>
  <si>
    <t>盧奕苓</t>
  </si>
  <si>
    <t>musicling_1008@hotmail.com</t>
  </si>
  <si>
    <t>黃巧昀</t>
  </si>
  <si>
    <t>s100402039@mail1.ncnu.edu.tw</t>
  </si>
  <si>
    <t>林姿妤</t>
  </si>
  <si>
    <t>irene60228@gmail.com</t>
  </si>
  <si>
    <t>洪滋轅</t>
  </si>
  <si>
    <t>joan_ang98@outlook.com</t>
  </si>
  <si>
    <t>古德鈞</t>
  </si>
  <si>
    <t>game70263@yahoo.com.tw</t>
  </si>
  <si>
    <t>許彤</t>
  </si>
  <si>
    <t>caricapricorn@gmail.com</t>
  </si>
  <si>
    <t>古德鈞秘書</t>
  </si>
  <si>
    <t>徐鈺婷</t>
  </si>
  <si>
    <t>s102103041@mail1.ncnu.edu.tw</t>
  </si>
  <si>
    <t>李怡璇</t>
  </si>
  <si>
    <t>s104402032@mail1.ncnu.edu.tw</t>
  </si>
  <si>
    <t>葉愛憫</t>
  </si>
  <si>
    <t>julovesabinna@gmail.com</t>
  </si>
  <si>
    <t>李權升</t>
  </si>
  <si>
    <t>happy42011@yahoo.com.tw</t>
  </si>
  <si>
    <t>劉彥希</t>
  </si>
  <si>
    <t>yeansee_ahyue@hotmail.com</t>
  </si>
  <si>
    <t>南投縣埔里鎮大學路521號53510室</t>
  </si>
  <si>
    <t>陳香蓉</t>
  </si>
  <si>
    <t>s102402024@mail1.ncnu.edu.tw</t>
  </si>
  <si>
    <t>彭仁郁</t>
  </si>
  <si>
    <t>jenyu.p@gmail.com</t>
  </si>
  <si>
    <t>江依錦</t>
  </si>
  <si>
    <t>s10310023@mail1.ncnu. edu. tw</t>
  </si>
  <si>
    <t>鄭得悅</t>
  </si>
  <si>
    <t>wlugc811515@gmail.com</t>
  </si>
  <si>
    <t>藍莓果醬</t>
  </si>
  <si>
    <t>施令慈</t>
  </si>
  <si>
    <t>s105402505@yahoo.com.tw</t>
  </si>
  <si>
    <t>許桂禎</t>
  </si>
  <si>
    <t>s99402047@mail1.ncnu.edu.tw</t>
  </si>
  <si>
    <t>桂禎</t>
  </si>
  <si>
    <t>s99402047</t>
  </si>
  <si>
    <t>訂購人姓名</t>
  </si>
  <si>
    <t>訂購人聯絡電話</t>
  </si>
  <si>
    <t>訂購人Email</t>
  </si>
  <si>
    <t>總金額</t>
  </si>
  <si>
    <t>時間</t>
    <phoneticPr fontId="2" type="noConversion"/>
  </si>
  <si>
    <r>
      <rPr>
        <sz val="10"/>
        <color theme="1"/>
        <rFont val="細明體"/>
        <family val="3"/>
        <charset val="136"/>
      </rPr>
      <t>蘋果果醬</t>
    </r>
    <r>
      <rPr>
        <sz val="10"/>
        <color theme="1"/>
        <rFont val="Arial"/>
        <family val="2"/>
      </rPr>
      <t xml:space="preserve"> 100</t>
    </r>
    <phoneticPr fontId="2" type="noConversion"/>
  </si>
  <si>
    <r>
      <rPr>
        <sz val="10"/>
        <color theme="1"/>
        <rFont val="細明體"/>
        <family val="3"/>
        <charset val="136"/>
      </rPr>
      <t>檸檬酸酪果醬</t>
    </r>
    <r>
      <rPr>
        <sz val="10"/>
        <color theme="1"/>
        <rFont val="Arial"/>
        <family val="2"/>
      </rPr>
      <t>100</t>
    </r>
    <phoneticPr fontId="2" type="noConversion"/>
  </si>
  <si>
    <r>
      <rPr>
        <sz val="10"/>
        <color theme="1"/>
        <rFont val="細明體"/>
        <family val="3"/>
        <charset val="136"/>
      </rPr>
      <t>藍莓蘋果果醬</t>
    </r>
    <r>
      <rPr>
        <sz val="10"/>
        <color theme="1"/>
        <rFont val="Arial"/>
        <family val="2"/>
      </rPr>
      <t>150</t>
    </r>
    <phoneticPr fontId="2" type="noConversion"/>
  </si>
  <si>
    <r>
      <rPr>
        <sz val="10"/>
        <color theme="1"/>
        <rFont val="細明體"/>
        <family val="3"/>
        <charset val="136"/>
      </rPr>
      <t>覆盆子蘋果果醬</t>
    </r>
    <r>
      <rPr>
        <sz val="10"/>
        <color theme="1"/>
        <rFont val="Arial"/>
        <family val="2"/>
      </rPr>
      <t>150</t>
    </r>
    <phoneticPr fontId="2" type="noConversion"/>
  </si>
  <si>
    <r>
      <rPr>
        <sz val="10"/>
        <color theme="1"/>
        <rFont val="細明體"/>
        <family val="3"/>
        <charset val="136"/>
      </rPr>
      <t>蔓越莓蘋果果醬</t>
    </r>
    <r>
      <rPr>
        <sz val="10"/>
        <color theme="1"/>
        <rFont val="Arial"/>
        <family val="2"/>
      </rPr>
      <t>150</t>
    </r>
    <r>
      <rPr>
        <sz val="10"/>
        <color theme="1"/>
        <rFont val="細明體"/>
        <family val="3"/>
        <charset val="136"/>
      </rPr>
      <t/>
    </r>
    <phoneticPr fontId="2" type="noConversion"/>
  </si>
  <si>
    <r>
      <rPr>
        <sz val="10"/>
        <color theme="1"/>
        <rFont val="細明體"/>
        <family val="3"/>
        <charset val="136"/>
      </rPr>
      <t>藍莓果醬</t>
    </r>
    <r>
      <rPr>
        <sz val="10"/>
        <color theme="1"/>
        <rFont val="Arial"/>
        <family val="2"/>
      </rPr>
      <t>180</t>
    </r>
    <r>
      <rPr>
        <sz val="10"/>
        <color theme="1"/>
        <rFont val="細明體"/>
        <family val="3"/>
        <charset val="136"/>
      </rPr>
      <t/>
    </r>
    <phoneticPr fontId="2" type="noConversion"/>
  </si>
  <si>
    <r>
      <rPr>
        <sz val="10"/>
        <color theme="1"/>
        <rFont val="細明體"/>
        <family val="3"/>
        <charset val="136"/>
      </rPr>
      <t>覆盆子果醬</t>
    </r>
    <r>
      <rPr>
        <sz val="10"/>
        <color theme="1"/>
        <rFont val="Arial"/>
        <family val="2"/>
      </rPr>
      <t>180</t>
    </r>
    <phoneticPr fontId="2" type="noConversion"/>
  </si>
  <si>
    <t>宅配地址</t>
    <phoneticPr fontId="2" type="noConversion"/>
  </si>
  <si>
    <t>買十送一</t>
    <phoneticPr fontId="2" type="noConversion"/>
  </si>
  <si>
    <t>百香果150</t>
    <phoneticPr fontId="2" type="noConversion"/>
  </si>
  <si>
    <t>綜合莓果180</t>
    <phoneticPr fontId="2" type="noConversion"/>
  </si>
  <si>
    <t>柚子50</t>
    <phoneticPr fontId="2" type="noConversion"/>
  </si>
  <si>
    <r>
      <rPr>
        <sz val="10"/>
        <color theme="1"/>
        <rFont val="細明體"/>
        <family val="3"/>
        <charset val="136"/>
      </rPr>
      <t>草莓果醬</t>
    </r>
    <r>
      <rPr>
        <sz val="10"/>
        <color theme="1"/>
        <rFont val="Arial"/>
        <family val="2"/>
      </rPr>
      <t>150</t>
    </r>
    <r>
      <rPr>
        <sz val="10"/>
        <color theme="1"/>
        <rFont val="細明體"/>
        <family val="3"/>
        <charset val="136"/>
      </rPr>
      <t/>
    </r>
    <phoneticPr fontId="2" type="noConversion"/>
  </si>
  <si>
    <t>覆盆子果醬</t>
    <phoneticPr fontId="2" type="noConversion"/>
  </si>
  <si>
    <t>s99402047</t>
    <phoneticPr fontId="2" type="noConversion"/>
  </si>
  <si>
    <t>取貨狀況</t>
    <phoneticPr fontId="2" type="noConversion"/>
  </si>
  <si>
    <t>總計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</si>
</sst>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  <font>
      <sz val="10"/>
      <color theme="1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wrapText="1"/>
    </xf>
    <xf numFmtId="0" fontId="0" fillId="0" borderId="1" xfId="0" applyBorder="1">
      <alignment vertical="center"/>
    </xf>
    <xf numFmtId="14" fontId="1" fillId="0" borderId="1" xfId="0" applyNumberFormat="1" applyFont="1" applyBorder="1" applyAlignment="1">
      <alignment horizontal="right" wrapText="1"/>
    </xf>
    <xf numFmtId="0" fontId="1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/>
    </xf>
    <xf numFmtId="0" fontId="0" fillId="0" borderId="0" xfId="0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"/>
  <sheetViews>
    <sheetView tabSelected="1" workbookViewId="0">
      <pane ySplit="1" topLeftCell="A2" activePane="bottomLeft" state="frozen"/>
      <selection pane="bottomLeft" activeCell="T34" sqref="T34"/>
    </sheetView>
  </sheetViews>
  <sheetFormatPr defaultRowHeight="16.5" x14ac:dyDescent="0.25"/>
  <cols>
    <col min="1" max="1" width="8.625" style="10" customWidth="1"/>
    <col min="2" max="2" width="7.125" style="10" customWidth="1"/>
    <col min="3" max="14" width="9" style="10"/>
    <col min="15" max="15" width="17.25" style="10" customWidth="1"/>
    <col min="16" max="16" width="9" style="10"/>
    <col min="17" max="17" width="17.875" style="10" customWidth="1"/>
    <col min="18" max="16384" width="9" style="10"/>
  </cols>
  <sheetData>
    <row r="1" spans="1:27" s="9" customFormat="1" ht="28.5" x14ac:dyDescent="0.25">
      <c r="A1" s="4" t="s">
        <v>65</v>
      </c>
      <c r="B1" s="3" t="s">
        <v>61</v>
      </c>
      <c r="C1" s="3" t="s">
        <v>66</v>
      </c>
      <c r="D1" s="3" t="s">
        <v>67</v>
      </c>
      <c r="E1" s="3" t="s">
        <v>68</v>
      </c>
      <c r="F1" s="3" t="s">
        <v>69</v>
      </c>
      <c r="G1" s="3" t="s">
        <v>70</v>
      </c>
      <c r="H1" s="3" t="s">
        <v>71</v>
      </c>
      <c r="I1" s="3" t="s">
        <v>72</v>
      </c>
      <c r="J1" s="3" t="s">
        <v>78</v>
      </c>
      <c r="K1" s="4" t="s">
        <v>75</v>
      </c>
      <c r="L1" s="4" t="s">
        <v>76</v>
      </c>
      <c r="M1" s="4" t="s">
        <v>77</v>
      </c>
      <c r="N1" s="4" t="s">
        <v>73</v>
      </c>
      <c r="O1" s="4" t="s">
        <v>74</v>
      </c>
      <c r="P1" s="3" t="s">
        <v>62</v>
      </c>
      <c r="Q1" s="3" t="s">
        <v>63</v>
      </c>
      <c r="R1" s="4" t="s">
        <v>81</v>
      </c>
      <c r="S1" s="3" t="s">
        <v>64</v>
      </c>
      <c r="T1" s="8"/>
      <c r="U1" s="8"/>
      <c r="V1" s="8"/>
      <c r="W1" s="8"/>
      <c r="X1" s="8"/>
      <c r="Y1" s="8"/>
      <c r="Z1" s="8"/>
      <c r="AA1" s="8"/>
    </row>
    <row r="2" spans="1:27" ht="25.5" x14ac:dyDescent="0.2">
      <c r="A2" s="7">
        <v>42699</v>
      </c>
      <c r="B2" s="1" t="s">
        <v>0</v>
      </c>
      <c r="C2" s="1"/>
      <c r="D2" s="5">
        <v>1</v>
      </c>
      <c r="E2" s="1"/>
      <c r="F2" s="1"/>
      <c r="G2" s="1"/>
      <c r="H2" s="5">
        <v>1</v>
      </c>
      <c r="I2" s="1"/>
      <c r="J2" s="6"/>
      <c r="K2" s="6"/>
      <c r="L2" s="6"/>
      <c r="M2" s="6"/>
      <c r="N2" s="1"/>
      <c r="O2" s="1"/>
      <c r="P2" s="5">
        <v>900082922</v>
      </c>
      <c r="Q2" s="1" t="s">
        <v>1</v>
      </c>
      <c r="R2" s="6"/>
      <c r="S2" s="1">
        <f>SUM(C2*100,D2*100,E2*150,F2*150,G2*150,H2*180,I2*180,J2*150,K2*150,L2*180,M2*50)</f>
        <v>280</v>
      </c>
    </row>
    <row r="3" spans="1:27" ht="25.5" x14ac:dyDescent="0.2">
      <c r="A3" s="7">
        <v>42700</v>
      </c>
      <c r="B3" s="1" t="s">
        <v>3</v>
      </c>
      <c r="C3" s="1"/>
      <c r="D3" s="1"/>
      <c r="E3" s="1"/>
      <c r="F3" s="5">
        <v>1</v>
      </c>
      <c r="G3" s="1"/>
      <c r="H3" s="1"/>
      <c r="I3" s="5">
        <v>1</v>
      </c>
      <c r="J3" s="6"/>
      <c r="K3" s="6"/>
      <c r="L3" s="6"/>
      <c r="M3" s="6"/>
      <c r="N3" s="1"/>
      <c r="O3" s="1" t="s">
        <v>2</v>
      </c>
      <c r="P3" s="5">
        <v>932592926</v>
      </c>
      <c r="Q3" s="1" t="s">
        <v>4</v>
      </c>
      <c r="R3" s="6"/>
      <c r="S3" s="1">
        <f>SUM(C3*100,D3*100,E3*150,F3*150,G3*150,H3*180,I3*180,J3*150,K3*150,L3*180,M3*50)</f>
        <v>330</v>
      </c>
    </row>
    <row r="4" spans="1:27" x14ac:dyDescent="0.2">
      <c r="A4" s="7">
        <v>42701</v>
      </c>
      <c r="B4" s="1" t="s">
        <v>5</v>
      </c>
      <c r="C4" s="1"/>
      <c r="D4" s="1">
        <v>1</v>
      </c>
      <c r="E4" s="1"/>
      <c r="F4" s="1"/>
      <c r="G4" s="1"/>
      <c r="H4" s="1"/>
      <c r="I4" s="1"/>
      <c r="J4" s="6"/>
      <c r="K4" s="6"/>
      <c r="L4" s="6"/>
      <c r="M4" s="6"/>
      <c r="N4" s="1"/>
      <c r="O4" s="1"/>
      <c r="P4" s="5">
        <v>987771736</v>
      </c>
      <c r="Q4" s="1" t="s">
        <v>6</v>
      </c>
      <c r="R4" s="6"/>
      <c r="S4" s="1">
        <f>SUM(C4*100,D4*100,E4*150,F4*150,G4*150,H4*180,I4*180,J4*150,K4*150,L4*180,M4*50)</f>
        <v>100</v>
      </c>
    </row>
    <row r="5" spans="1:27" ht="25.5" x14ac:dyDescent="0.2">
      <c r="A5" s="7">
        <v>42701</v>
      </c>
      <c r="B5" s="1" t="s">
        <v>7</v>
      </c>
      <c r="C5" s="5">
        <v>1</v>
      </c>
      <c r="D5" s="1"/>
      <c r="E5" s="1"/>
      <c r="F5" s="1"/>
      <c r="G5" s="1"/>
      <c r="H5" s="1"/>
      <c r="I5" s="1"/>
      <c r="J5" s="6"/>
      <c r="K5" s="6"/>
      <c r="L5" s="6"/>
      <c r="M5" s="6"/>
      <c r="N5" s="1"/>
      <c r="O5" s="1"/>
      <c r="P5" s="5">
        <v>918994808</v>
      </c>
      <c r="Q5" s="1" t="s">
        <v>8</v>
      </c>
      <c r="R5" s="6"/>
      <c r="S5" s="1">
        <f>SUM(C5*100,D5*100,E5*150,F5*150,G5*150,H5*180,I5*180,J5*150,K5*150,L5*180,M5*50)</f>
        <v>100</v>
      </c>
    </row>
    <row r="6" spans="1:27" ht="25.5" x14ac:dyDescent="0.2">
      <c r="A6" s="7">
        <v>42702</v>
      </c>
      <c r="B6" s="1" t="s">
        <v>9</v>
      </c>
      <c r="C6" s="5">
        <v>1</v>
      </c>
      <c r="D6" s="1"/>
      <c r="E6" s="1"/>
      <c r="F6" s="1"/>
      <c r="G6" s="5">
        <v>1</v>
      </c>
      <c r="H6" s="1"/>
      <c r="I6" s="1"/>
      <c r="J6" s="6"/>
      <c r="K6" s="6"/>
      <c r="L6" s="6"/>
      <c r="M6" s="6"/>
      <c r="N6" s="1"/>
      <c r="O6" s="1"/>
      <c r="P6" s="5">
        <v>928606052</v>
      </c>
      <c r="Q6" s="1" t="s">
        <v>10</v>
      </c>
      <c r="R6" s="6"/>
      <c r="S6" s="1">
        <f>SUM(C6*100,D6*100,E6*150,F6*150,G6*150,H6*180,I6*180,J6*150,K6*150,L6*180,M6*50)</f>
        <v>250</v>
      </c>
    </row>
    <row r="7" spans="1:27" ht="25.5" x14ac:dyDescent="0.2">
      <c r="A7" s="7">
        <v>42702</v>
      </c>
      <c r="B7" s="1" t="s">
        <v>12</v>
      </c>
      <c r="C7" s="5">
        <v>5</v>
      </c>
      <c r="D7" s="5">
        <v>5</v>
      </c>
      <c r="E7" s="1"/>
      <c r="F7" s="1"/>
      <c r="G7" s="1"/>
      <c r="H7" s="1"/>
      <c r="I7" s="1"/>
      <c r="J7" s="6"/>
      <c r="K7" s="6"/>
      <c r="L7" s="6"/>
      <c r="M7" s="6"/>
      <c r="N7" s="1"/>
      <c r="O7" s="1" t="s">
        <v>11</v>
      </c>
      <c r="P7" s="5">
        <v>972137695</v>
      </c>
      <c r="Q7" s="1" t="s">
        <v>13</v>
      </c>
      <c r="R7" s="6"/>
      <c r="S7" s="1">
        <f>SUM(C7*100,D7*100,E7*150,F7*150,G7*150,H7*180,I7*180,J7*150,K7*150,L7*180,M7*50)</f>
        <v>1000</v>
      </c>
    </row>
    <row r="8" spans="1:27" ht="38.25" x14ac:dyDescent="0.2">
      <c r="A8" s="7">
        <v>42703</v>
      </c>
      <c r="B8" s="1" t="s">
        <v>16</v>
      </c>
      <c r="C8" s="5">
        <v>2</v>
      </c>
      <c r="D8" s="5">
        <v>4</v>
      </c>
      <c r="E8" s="5">
        <v>1</v>
      </c>
      <c r="F8" s="1"/>
      <c r="G8" s="1"/>
      <c r="H8" s="5">
        <v>1</v>
      </c>
      <c r="I8" s="5">
        <v>2</v>
      </c>
      <c r="J8" s="6"/>
      <c r="K8" s="6"/>
      <c r="L8" s="6"/>
      <c r="M8" s="6"/>
      <c r="N8" s="1" t="s">
        <v>14</v>
      </c>
      <c r="O8" s="1" t="s">
        <v>15</v>
      </c>
      <c r="P8" s="5">
        <v>970377042</v>
      </c>
      <c r="Q8" s="1" t="s">
        <v>17</v>
      </c>
      <c r="R8" s="6"/>
      <c r="S8" s="1">
        <f>SUM(C8*100,D8*100,E8*150,F8*150,G8*150,H8*180,I8*180,J8*150,K8*150,L8*180,M8*50)</f>
        <v>1290</v>
      </c>
    </row>
    <row r="9" spans="1:27" ht="51" x14ac:dyDescent="0.2">
      <c r="A9" s="7">
        <v>42703</v>
      </c>
      <c r="B9" s="1" t="s">
        <v>20</v>
      </c>
      <c r="C9" s="1"/>
      <c r="D9" s="5">
        <v>1</v>
      </c>
      <c r="E9" s="5">
        <v>3</v>
      </c>
      <c r="F9" s="5">
        <v>2</v>
      </c>
      <c r="G9" s="5">
        <v>2</v>
      </c>
      <c r="H9" s="5">
        <v>2</v>
      </c>
      <c r="I9" s="5">
        <v>2</v>
      </c>
      <c r="J9" s="6"/>
      <c r="K9" s="6"/>
      <c r="L9" s="6"/>
      <c r="M9" s="6"/>
      <c r="N9" s="1" t="s">
        <v>18</v>
      </c>
      <c r="O9" s="1" t="s">
        <v>19</v>
      </c>
      <c r="P9" s="5">
        <v>910183788</v>
      </c>
      <c r="Q9" s="1" t="s">
        <v>21</v>
      </c>
      <c r="R9" s="6"/>
      <c r="S9" s="1">
        <f>SUM(C9*100,D9*100,E9*150,F9*150,G9*150,H9*180,I9*180,J9*150,K9*150,L9*180,M9*50)</f>
        <v>1870</v>
      </c>
    </row>
    <row r="10" spans="1:27" ht="25.5" x14ac:dyDescent="0.2">
      <c r="A10" s="7">
        <v>42703</v>
      </c>
      <c r="B10" s="1" t="s">
        <v>22</v>
      </c>
      <c r="C10" s="5">
        <v>1</v>
      </c>
      <c r="D10" s="5">
        <v>1</v>
      </c>
      <c r="E10" s="1"/>
      <c r="F10" s="1"/>
      <c r="G10" s="1"/>
      <c r="H10" s="1"/>
      <c r="I10" s="1"/>
      <c r="J10" s="6"/>
      <c r="K10" s="6"/>
      <c r="L10" s="6"/>
      <c r="M10" s="6"/>
      <c r="N10" s="1"/>
      <c r="O10" s="1"/>
      <c r="P10" s="5">
        <v>963547226</v>
      </c>
      <c r="Q10" s="1" t="s">
        <v>23</v>
      </c>
      <c r="R10" s="6"/>
      <c r="S10" s="1">
        <f>SUM(C10*100,D10*100,E10*150,F10*150,G10*150,H10*180,I10*180,J10*150,K10*150,L10*180,M10*50)</f>
        <v>200</v>
      </c>
    </row>
    <row r="11" spans="1:27" ht="25.5" x14ac:dyDescent="0.2">
      <c r="A11" s="7">
        <v>42703</v>
      </c>
      <c r="B11" s="1" t="s">
        <v>24</v>
      </c>
      <c r="C11" s="1"/>
      <c r="D11" s="1"/>
      <c r="E11" s="1"/>
      <c r="F11" s="1"/>
      <c r="G11" s="1"/>
      <c r="H11" s="5">
        <v>1</v>
      </c>
      <c r="I11" s="1"/>
      <c r="J11" s="6"/>
      <c r="K11" s="6"/>
      <c r="L11" s="6"/>
      <c r="M11" s="6"/>
      <c r="N11" s="1"/>
      <c r="O11" s="1"/>
      <c r="P11" s="5">
        <v>956666080</v>
      </c>
      <c r="Q11" s="1" t="s">
        <v>25</v>
      </c>
      <c r="R11" s="6"/>
      <c r="S11" s="1">
        <f>SUM(C11*100,D11*100,E11*150,F11*150,G11*150,H11*180,I11*180,J11*150,K11*150,L11*180,M11*50)</f>
        <v>180</v>
      </c>
    </row>
    <row r="12" spans="1:27" x14ac:dyDescent="0.2">
      <c r="A12" s="7">
        <v>42703</v>
      </c>
      <c r="B12" s="1" t="s">
        <v>26</v>
      </c>
      <c r="C12" s="5">
        <v>1</v>
      </c>
      <c r="D12" s="1"/>
      <c r="E12" s="1"/>
      <c r="F12" s="1"/>
      <c r="G12" s="1"/>
      <c r="H12" s="1"/>
      <c r="I12" s="1"/>
      <c r="J12" s="6"/>
      <c r="K12" s="6"/>
      <c r="L12" s="6"/>
      <c r="M12" s="6"/>
      <c r="N12" s="1"/>
      <c r="O12" s="1"/>
      <c r="P12" s="5">
        <v>978669125</v>
      </c>
      <c r="Q12" s="1" t="s">
        <v>27</v>
      </c>
      <c r="R12" s="6"/>
      <c r="S12" s="1">
        <f>SUM(C12*100,D12*100,E12*150,F12*150,G12*150,H12*180,I12*180,J12*150,K12*150,L12*180,M12*50)</f>
        <v>100</v>
      </c>
    </row>
    <row r="13" spans="1:27" ht="25.5" x14ac:dyDescent="0.2">
      <c r="A13" s="7">
        <v>42704</v>
      </c>
      <c r="B13" s="1" t="s">
        <v>30</v>
      </c>
      <c r="C13" s="1"/>
      <c r="D13" s="5">
        <v>3</v>
      </c>
      <c r="E13" s="1"/>
      <c r="F13" s="5">
        <v>2</v>
      </c>
      <c r="G13" s="1"/>
      <c r="H13" s="1"/>
      <c r="I13" s="1"/>
      <c r="J13" s="6"/>
      <c r="K13" s="6"/>
      <c r="L13" s="6"/>
      <c r="M13" s="6"/>
      <c r="N13" s="1"/>
      <c r="O13" s="1"/>
      <c r="P13" s="5">
        <v>988632090</v>
      </c>
      <c r="Q13" s="1" t="s">
        <v>31</v>
      </c>
      <c r="R13" s="6"/>
      <c r="S13" s="1">
        <f>SUM(C13*100,D13*100,E13*150,F13*150,G13*150,H13*180,I13*180,J13*150,K13*150,L13*180,M13*50)</f>
        <v>600</v>
      </c>
    </row>
    <row r="14" spans="1:27" ht="25.5" x14ac:dyDescent="0.2">
      <c r="A14" s="7">
        <v>42704</v>
      </c>
      <c r="B14" s="1" t="s">
        <v>32</v>
      </c>
      <c r="C14" s="5">
        <v>1</v>
      </c>
      <c r="D14" s="5">
        <v>1</v>
      </c>
      <c r="E14" s="1"/>
      <c r="F14" s="1"/>
      <c r="G14" s="5">
        <v>1</v>
      </c>
      <c r="H14" s="5">
        <v>1</v>
      </c>
      <c r="I14" s="5">
        <v>1</v>
      </c>
      <c r="J14" s="6"/>
      <c r="K14" s="6"/>
      <c r="L14" s="6"/>
      <c r="M14" s="6"/>
      <c r="N14" s="1"/>
      <c r="O14" s="1"/>
      <c r="P14" s="5">
        <v>919636693</v>
      </c>
      <c r="Q14" s="1" t="s">
        <v>33</v>
      </c>
      <c r="R14" s="6"/>
      <c r="S14" s="1">
        <f>SUM(C14*100,D14*100,E14*150,F14*150,G14*150,H14*180,I14*180,J14*150,K14*150,L14*180,M14*50)</f>
        <v>710</v>
      </c>
    </row>
    <row r="15" spans="1:27" ht="25.5" x14ac:dyDescent="0.2">
      <c r="A15" s="7">
        <v>42704</v>
      </c>
      <c r="B15" s="1" t="s">
        <v>34</v>
      </c>
      <c r="C15" s="5">
        <v>1</v>
      </c>
      <c r="D15" s="1"/>
      <c r="E15" s="5">
        <v>1</v>
      </c>
      <c r="F15" s="1"/>
      <c r="G15" s="1"/>
      <c r="H15" s="1"/>
      <c r="I15" s="1"/>
      <c r="J15" s="6"/>
      <c r="K15" s="6"/>
      <c r="L15" s="6"/>
      <c r="M15" s="6"/>
      <c r="N15" s="1"/>
      <c r="O15" s="1"/>
      <c r="P15" s="5">
        <v>988632090</v>
      </c>
      <c r="Q15" s="1" t="s">
        <v>31</v>
      </c>
      <c r="R15" s="6"/>
      <c r="S15" s="1">
        <f>SUM(C15*100,D15*100,E15*150,F15*150,G15*150,H15*180,I15*180,J15*150,K15*150,L15*180,M15*50)</f>
        <v>250</v>
      </c>
    </row>
    <row r="16" spans="1:27" ht="25.5" x14ac:dyDescent="0.2">
      <c r="A16" s="7">
        <v>42704</v>
      </c>
      <c r="B16" s="1" t="s">
        <v>35</v>
      </c>
      <c r="C16" s="1"/>
      <c r="D16" s="5">
        <v>1</v>
      </c>
      <c r="E16" s="1"/>
      <c r="F16" s="1"/>
      <c r="G16" s="1"/>
      <c r="H16" s="1"/>
      <c r="I16" s="1"/>
      <c r="J16" s="6"/>
      <c r="K16" s="6"/>
      <c r="L16" s="6"/>
      <c r="M16" s="6"/>
      <c r="N16" s="1"/>
      <c r="O16" s="1"/>
      <c r="P16" s="5">
        <v>983898675</v>
      </c>
      <c r="Q16" s="1" t="s">
        <v>36</v>
      </c>
      <c r="R16" s="6"/>
      <c r="S16" s="1">
        <f>SUM(C16*100,D16*100,E16*150,F16*150,G16*150,H16*180,I16*180,J16*150,K16*150,L16*180,M16*50)</f>
        <v>100</v>
      </c>
    </row>
    <row r="17" spans="1:19" ht="25.5" x14ac:dyDescent="0.2">
      <c r="A17" s="7">
        <v>42704</v>
      </c>
      <c r="B17" s="1" t="s">
        <v>37</v>
      </c>
      <c r="C17" s="5">
        <v>1</v>
      </c>
      <c r="D17" s="1"/>
      <c r="E17" s="1"/>
      <c r="F17" s="1"/>
      <c r="G17" s="1"/>
      <c r="H17" s="1"/>
      <c r="I17" s="1"/>
      <c r="J17" s="6"/>
      <c r="K17" s="6"/>
      <c r="L17" s="6"/>
      <c r="M17" s="6"/>
      <c r="N17" s="1"/>
      <c r="O17" s="1"/>
      <c r="P17" s="5">
        <v>956869389</v>
      </c>
      <c r="Q17" s="1" t="s">
        <v>38</v>
      </c>
      <c r="R17" s="6"/>
      <c r="S17" s="1">
        <f>SUM(C17*100,D17*100,E17*150,F17*150,G17*150,H17*180,I17*180,J17*150,K17*150,L17*180,M17*50)</f>
        <v>100</v>
      </c>
    </row>
    <row r="18" spans="1:19" ht="25.5" x14ac:dyDescent="0.2">
      <c r="A18" s="7">
        <v>42704</v>
      </c>
      <c r="B18" s="1" t="s">
        <v>39</v>
      </c>
      <c r="C18" s="1"/>
      <c r="D18" s="1"/>
      <c r="E18" s="1"/>
      <c r="F18" s="1"/>
      <c r="G18" s="5">
        <v>1</v>
      </c>
      <c r="H18" s="1"/>
      <c r="I18" s="5">
        <v>1</v>
      </c>
      <c r="J18" s="6"/>
      <c r="K18" s="6"/>
      <c r="L18" s="6"/>
      <c r="M18" s="6"/>
      <c r="N18" s="1"/>
      <c r="O18" s="1"/>
      <c r="P18" s="5">
        <v>921168386</v>
      </c>
      <c r="Q18" s="1" t="s">
        <v>40</v>
      </c>
      <c r="R18" s="6"/>
      <c r="S18" s="1">
        <f>SUM(C18*100,D18*100,E18*150,F18*150,G18*150,H18*180,I18*180,J18*150,K18*150,L18*180,M18*50)</f>
        <v>330</v>
      </c>
    </row>
    <row r="19" spans="1:19" ht="25.5" x14ac:dyDescent="0.2">
      <c r="A19" s="7">
        <v>42704</v>
      </c>
      <c r="B19" s="1" t="s">
        <v>41</v>
      </c>
      <c r="C19" s="1"/>
      <c r="D19" s="5">
        <v>1</v>
      </c>
      <c r="E19" s="5">
        <v>1</v>
      </c>
      <c r="F19" s="1"/>
      <c r="G19" s="1"/>
      <c r="H19" s="1"/>
      <c r="I19" s="1"/>
      <c r="J19" s="6"/>
      <c r="K19" s="6"/>
      <c r="L19" s="6"/>
      <c r="M19" s="6"/>
      <c r="N19" s="1"/>
      <c r="O19" s="1"/>
      <c r="P19" s="5">
        <v>963827796</v>
      </c>
      <c r="Q19" s="1" t="s">
        <v>42</v>
      </c>
      <c r="R19" s="6"/>
      <c r="S19" s="1">
        <f>SUM(C19*100,D19*100,E19*150,F19*150,G19*150,H19*180,I19*180,J19*150,K19*150,L19*180,M19*50)</f>
        <v>250</v>
      </c>
    </row>
    <row r="20" spans="1:19" ht="25.5" x14ac:dyDescent="0.2">
      <c r="A20" s="7">
        <v>42704</v>
      </c>
      <c r="B20" s="1" t="s">
        <v>43</v>
      </c>
      <c r="C20" s="1"/>
      <c r="D20" s="5">
        <v>1</v>
      </c>
      <c r="E20" s="1"/>
      <c r="F20" s="1"/>
      <c r="G20" s="1"/>
      <c r="H20" s="1"/>
      <c r="I20" s="1"/>
      <c r="J20" s="6"/>
      <c r="K20" s="6"/>
      <c r="L20" s="6"/>
      <c r="M20" s="6"/>
      <c r="N20" s="1"/>
      <c r="O20" s="1"/>
      <c r="P20" s="5">
        <v>905620011</v>
      </c>
      <c r="Q20" s="1" t="s">
        <v>44</v>
      </c>
      <c r="R20" s="6"/>
      <c r="S20" s="1">
        <f>SUM(C20*100,D20*100,E20*150,F20*150,G20*150,H20*180,I20*180,J20*150,K20*150,L20*180,M20*50)</f>
        <v>100</v>
      </c>
    </row>
    <row r="21" spans="1:19" ht="51.75" x14ac:dyDescent="0.25">
      <c r="A21" s="7">
        <v>42704</v>
      </c>
      <c r="B21" s="1" t="s">
        <v>28</v>
      </c>
      <c r="C21" s="5">
        <v>1</v>
      </c>
      <c r="D21" s="5">
        <v>6</v>
      </c>
      <c r="E21" s="5">
        <v>1</v>
      </c>
      <c r="F21" s="5">
        <v>1</v>
      </c>
      <c r="G21" s="1"/>
      <c r="H21" s="5">
        <v>1</v>
      </c>
      <c r="I21" s="5"/>
      <c r="J21" s="6"/>
      <c r="K21" s="6"/>
      <c r="L21" s="6"/>
      <c r="M21" s="6"/>
      <c r="N21" s="1" t="s">
        <v>45</v>
      </c>
      <c r="O21" s="2" t="s">
        <v>79</v>
      </c>
      <c r="P21" s="5">
        <v>905297634</v>
      </c>
      <c r="Q21" s="1" t="s">
        <v>29</v>
      </c>
      <c r="R21" s="6"/>
      <c r="S21" s="1">
        <f>SUM(C21*100,D21*100,E21*150,F21*150,G21*150,H21*180,I21*180,J21*150,K21*150,L21*180,M21*50)</f>
        <v>1180</v>
      </c>
    </row>
    <row r="22" spans="1:19" ht="25.5" x14ac:dyDescent="0.2">
      <c r="A22" s="7">
        <v>42705</v>
      </c>
      <c r="B22" s="1" t="s">
        <v>46</v>
      </c>
      <c r="C22" s="1"/>
      <c r="D22" s="5">
        <v>1</v>
      </c>
      <c r="E22" s="1"/>
      <c r="F22" s="1"/>
      <c r="G22" s="1"/>
      <c r="H22" s="1"/>
      <c r="I22" s="1"/>
      <c r="J22" s="6"/>
      <c r="K22" s="6"/>
      <c r="L22" s="6"/>
      <c r="M22" s="6"/>
      <c r="N22" s="1"/>
      <c r="O22" s="1"/>
      <c r="P22" s="5">
        <v>963937179</v>
      </c>
      <c r="Q22" s="1" t="s">
        <v>47</v>
      </c>
      <c r="R22" s="6"/>
      <c r="S22" s="1">
        <f>SUM(C22*100,D22*100,E22*150,F22*150,G22*150,H22*180,I22*180,J22*150,K22*150,L22*180,M22*50)</f>
        <v>100</v>
      </c>
    </row>
    <row r="23" spans="1:19" x14ac:dyDescent="0.2">
      <c r="A23" s="7">
        <v>42705</v>
      </c>
      <c r="B23" s="1" t="s">
        <v>48</v>
      </c>
      <c r="C23" s="1"/>
      <c r="D23" s="1"/>
      <c r="E23" s="1"/>
      <c r="F23" s="1"/>
      <c r="G23" s="1"/>
      <c r="H23" s="5">
        <v>5</v>
      </c>
      <c r="I23" s="5">
        <v>5</v>
      </c>
      <c r="J23" s="6"/>
      <c r="K23" s="6"/>
      <c r="L23" s="6"/>
      <c r="M23" s="6"/>
      <c r="N23" s="1"/>
      <c r="O23" s="1" t="s">
        <v>15</v>
      </c>
      <c r="P23" s="5">
        <v>921434469</v>
      </c>
      <c r="Q23" s="1" t="s">
        <v>49</v>
      </c>
      <c r="R23" s="6"/>
      <c r="S23" s="1">
        <f>SUM(C23*100,D23*100,E23*150,F23*150,G23*150,H23*180,I23*180,J23*150,K23*150,L23*180,M23*50)</f>
        <v>1800</v>
      </c>
    </row>
    <row r="24" spans="1:19" ht="25.5" x14ac:dyDescent="0.2">
      <c r="A24" s="7">
        <v>42705</v>
      </c>
      <c r="B24" s="1" t="s">
        <v>50</v>
      </c>
      <c r="C24" s="1"/>
      <c r="D24" s="1"/>
      <c r="E24" s="1"/>
      <c r="F24" s="5">
        <v>1</v>
      </c>
      <c r="G24" s="5">
        <v>1</v>
      </c>
      <c r="H24" s="1"/>
      <c r="I24" s="1"/>
      <c r="J24" s="6"/>
      <c r="K24" s="6"/>
      <c r="L24" s="6"/>
      <c r="M24" s="6"/>
      <c r="N24" s="1"/>
      <c r="O24" s="1"/>
      <c r="P24" s="5">
        <v>963759336</v>
      </c>
      <c r="Q24" s="1" t="s">
        <v>51</v>
      </c>
      <c r="R24" s="6"/>
      <c r="S24" s="1">
        <f>SUM(C24*100,D24*100,E24*150,F24*150,G24*150,H24*180,I24*180,J24*150,K24*150,L24*180,M24*50)</f>
        <v>300</v>
      </c>
    </row>
    <row r="25" spans="1:19" ht="25.5" x14ac:dyDescent="0.2">
      <c r="A25" s="7">
        <v>42705</v>
      </c>
      <c r="B25" s="1" t="s">
        <v>52</v>
      </c>
      <c r="C25" s="5">
        <v>1</v>
      </c>
      <c r="D25" s="1"/>
      <c r="E25" s="1"/>
      <c r="F25" s="1"/>
      <c r="G25" s="1"/>
      <c r="H25" s="1"/>
      <c r="I25" s="1"/>
      <c r="J25" s="6"/>
      <c r="K25" s="6"/>
      <c r="L25" s="6"/>
      <c r="M25" s="6"/>
      <c r="N25" s="1"/>
      <c r="O25" s="1"/>
      <c r="P25" s="5">
        <v>970803540</v>
      </c>
      <c r="Q25" s="1" t="s">
        <v>53</v>
      </c>
      <c r="R25" s="6"/>
      <c r="S25" s="1">
        <f>SUM(C25*100,D25*100,E25*150,F25*150,G25*150,H25*180,I25*180,J25*150,K25*150,L25*180,M25*50)</f>
        <v>100</v>
      </c>
    </row>
    <row r="26" spans="1:19" ht="25.5" x14ac:dyDescent="0.2">
      <c r="A26" s="7">
        <v>42705</v>
      </c>
      <c r="B26" s="1" t="s">
        <v>55</v>
      </c>
      <c r="C26" s="5">
        <v>3</v>
      </c>
      <c r="D26" s="5">
        <v>9</v>
      </c>
      <c r="E26" s="5">
        <v>1</v>
      </c>
      <c r="F26" s="1"/>
      <c r="G26" s="1"/>
      <c r="H26" s="1"/>
      <c r="I26" s="1"/>
      <c r="J26" s="6"/>
      <c r="K26" s="6"/>
      <c r="L26" s="6"/>
      <c r="M26" s="6"/>
      <c r="N26" s="1"/>
      <c r="O26" s="1" t="s">
        <v>54</v>
      </c>
      <c r="P26" s="5">
        <v>920638635</v>
      </c>
      <c r="Q26" s="1" t="s">
        <v>56</v>
      </c>
      <c r="R26" s="6"/>
      <c r="S26" s="1">
        <f>SUM(C26*100,D26*100,E26*150,F26*150,G26*150,H26*180,I26*180,J26*150,K26*150,L26*180,M26*50)</f>
        <v>1350</v>
      </c>
    </row>
    <row r="27" spans="1:19" ht="25.5" x14ac:dyDescent="0.2">
      <c r="A27" s="7">
        <v>42705</v>
      </c>
      <c r="B27" s="1" t="s">
        <v>16</v>
      </c>
      <c r="C27" s="1"/>
      <c r="D27" s="5">
        <v>2</v>
      </c>
      <c r="E27" s="1"/>
      <c r="F27" s="1"/>
      <c r="G27" s="1"/>
      <c r="H27" s="1"/>
      <c r="I27" s="1"/>
      <c r="J27" s="6"/>
      <c r="K27" s="6"/>
      <c r="L27" s="6"/>
      <c r="M27" s="6"/>
      <c r="N27" s="1"/>
      <c r="O27" s="1"/>
      <c r="P27" s="5">
        <v>970377042</v>
      </c>
      <c r="Q27" s="1" t="s">
        <v>17</v>
      </c>
      <c r="R27" s="6"/>
      <c r="S27" s="1">
        <f>SUM(C27*100,D27*100,E27*150,F27*150,G27*150,H27*180,I27*180,J27*150,K27*150,L27*180,M27*50)</f>
        <v>200</v>
      </c>
    </row>
    <row r="28" spans="1:19" ht="25.5" x14ac:dyDescent="0.2">
      <c r="A28" s="7">
        <v>42705</v>
      </c>
      <c r="B28" s="1" t="s">
        <v>57</v>
      </c>
      <c r="C28" s="5">
        <v>2</v>
      </c>
      <c r="D28" s="5">
        <v>1</v>
      </c>
      <c r="E28" s="5">
        <v>4</v>
      </c>
      <c r="F28" s="5">
        <v>2</v>
      </c>
      <c r="G28" s="5">
        <v>2</v>
      </c>
      <c r="H28" s="5">
        <v>1</v>
      </c>
      <c r="I28" s="1"/>
      <c r="J28" s="6"/>
      <c r="K28" s="6"/>
      <c r="L28" s="6"/>
      <c r="M28" s="6"/>
      <c r="N28" s="1" t="s">
        <v>57</v>
      </c>
      <c r="O28" s="1" t="s">
        <v>11</v>
      </c>
      <c r="P28" s="5">
        <v>981706938</v>
      </c>
      <c r="Q28" s="1" t="s">
        <v>58</v>
      </c>
      <c r="R28" s="6"/>
      <c r="S28" s="1">
        <f>SUM(C28*100,D28*100,E28*150,F28*150,G28*150,H28*180,I28*180,J28*150,K28*150,L28*180,M28*50)</f>
        <v>1680</v>
      </c>
    </row>
    <row r="29" spans="1:19" x14ac:dyDescent="0.2">
      <c r="A29" s="7">
        <v>42705</v>
      </c>
      <c r="B29" s="1" t="s">
        <v>57</v>
      </c>
      <c r="C29" s="5">
        <v>3</v>
      </c>
      <c r="D29" s="1"/>
      <c r="E29" s="5">
        <v>4</v>
      </c>
      <c r="F29" s="1"/>
      <c r="G29" s="5">
        <v>1</v>
      </c>
      <c r="H29" s="5">
        <v>1</v>
      </c>
      <c r="I29" s="5">
        <v>1</v>
      </c>
      <c r="J29" s="6"/>
      <c r="K29" s="6"/>
      <c r="L29" s="6"/>
      <c r="M29" s="6"/>
      <c r="N29" s="1" t="s">
        <v>59</v>
      </c>
      <c r="O29" s="1" t="s">
        <v>11</v>
      </c>
      <c r="P29" s="5">
        <v>981706938</v>
      </c>
      <c r="Q29" s="1" t="s">
        <v>60</v>
      </c>
      <c r="R29" s="6"/>
      <c r="S29" s="1">
        <f>SUM(C29*100,D29*100,E29*150,F29*150,G29*150,H29*180,I29*180,J29*150,K29*150,L29*180,M29*50)</f>
        <v>1410</v>
      </c>
    </row>
    <row r="30" spans="1:19" x14ac:dyDescent="0.2">
      <c r="A30" s="7">
        <v>42705</v>
      </c>
      <c r="B30" s="1" t="s">
        <v>57</v>
      </c>
      <c r="C30" s="1"/>
      <c r="D30" s="5">
        <v>1</v>
      </c>
      <c r="E30" s="5">
        <v>2</v>
      </c>
      <c r="F30" s="5">
        <v>4</v>
      </c>
      <c r="G30" s="5">
        <v>3</v>
      </c>
      <c r="H30" s="1"/>
      <c r="I30" s="1"/>
      <c r="J30" s="6"/>
      <c r="K30" s="6"/>
      <c r="L30" s="6"/>
      <c r="M30" s="6"/>
      <c r="N30" s="1"/>
      <c r="O30" s="1" t="s">
        <v>54</v>
      </c>
      <c r="P30" s="5">
        <v>981706938</v>
      </c>
      <c r="Q30" s="5" t="s">
        <v>80</v>
      </c>
      <c r="R30" s="6"/>
      <c r="S30" s="1">
        <f>SUM(C30*100,D30*100,E30*150,F30*150,G30*150,H30*180,I30*180,J30*150,K30*150,L30*180,M30*50)</f>
        <v>1450</v>
      </c>
    </row>
    <row r="31" spans="1:19" x14ac:dyDescent="0.25">
      <c r="A31" s="2" t="s">
        <v>82</v>
      </c>
      <c r="B31" s="1"/>
      <c r="C31" s="1">
        <f>SUM(C2:C30)</f>
        <v>24</v>
      </c>
      <c r="D31" s="1">
        <f t="shared" ref="D31:M31" si="0">SUM(D2:D30)</f>
        <v>40</v>
      </c>
      <c r="E31" s="1">
        <f t="shared" si="0"/>
        <v>18</v>
      </c>
      <c r="F31" s="1">
        <f t="shared" si="0"/>
        <v>13</v>
      </c>
      <c r="G31" s="1">
        <f t="shared" si="0"/>
        <v>12</v>
      </c>
      <c r="H31" s="1">
        <f t="shared" si="0"/>
        <v>14</v>
      </c>
      <c r="I31" s="1">
        <f t="shared" si="0"/>
        <v>13</v>
      </c>
      <c r="J31" s="1">
        <f t="shared" si="0"/>
        <v>0</v>
      </c>
      <c r="K31" s="1">
        <f t="shared" si="0"/>
        <v>0</v>
      </c>
      <c r="L31" s="1">
        <f t="shared" si="0"/>
        <v>0</v>
      </c>
      <c r="M31" s="1">
        <f t="shared" si="0"/>
        <v>0</v>
      </c>
      <c r="N31" s="1"/>
      <c r="O31" s="1"/>
      <c r="P31" s="1"/>
      <c r="Q31" s="1"/>
      <c r="R31" s="6"/>
      <c r="S31" s="1">
        <f>SUM(C31*100,D31*100,E31*150,F31*150,G31*150,H31*180,I31*180,J31*150,K31*150,L31*180,M31*50)</f>
        <v>17710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2016-12-01T14:19:38Z</dcterms:created>
  <dcterms:modified xsi:type="dcterms:W3CDTF">2016-12-01T14:38:32Z</dcterms:modified>
</cp:coreProperties>
</file>