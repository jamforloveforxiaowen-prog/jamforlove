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0" windowWidth="19395" windowHeight="7845" tabRatio="478"/>
  </bookViews>
  <sheets>
    <sheet name="工作表1" sheetId="1" r:id="rId1"/>
  </sheets>
  <calcPr calcId="144525"/>
</workbook>
</file>

<file path=xl/calcChain.xml><?xml version="1.0" encoding="utf-8"?>
<calcChain xmlns="http://schemas.openxmlformats.org/spreadsheetml/2006/main">
  <c r="C50" i="1" l="1"/>
  <c r="D50" i="1"/>
  <c r="E50" i="1"/>
  <c r="F50" i="1"/>
  <c r="G50" i="1"/>
  <c r="H50" i="1"/>
  <c r="I50" i="1"/>
  <c r="J50" i="1"/>
  <c r="B50" i="1"/>
  <c r="O46" i="1"/>
  <c r="O49" i="1" l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7" i="1"/>
  <c r="O48" i="1"/>
  <c r="O2" i="1"/>
  <c r="O50" i="1" l="1"/>
</calcChain>
</file>

<file path=xl/sharedStrings.xml><?xml version="1.0" encoding="utf-8"?>
<sst xmlns="http://schemas.openxmlformats.org/spreadsheetml/2006/main" count="108" uniqueCount="102">
  <si>
    <t>李小菁</t>
  </si>
  <si>
    <t>0932-264172</t>
  </si>
  <si>
    <t>siaojinglee@yahoo.com.tw</t>
  </si>
  <si>
    <t>陳家羚</t>
  </si>
  <si>
    <t>azaz123az202@gmail.com</t>
  </si>
  <si>
    <t>新北市板橋區滿平街言100巷8號</t>
  </si>
  <si>
    <t>顧玉玲</t>
  </si>
  <si>
    <t>yulingku@gmail.com</t>
  </si>
  <si>
    <t>黃心韻</t>
  </si>
  <si>
    <t>syngtw1213@gmail.com</t>
  </si>
  <si>
    <t>黃意清</t>
  </si>
  <si>
    <t>hartaty.wijaya@live.com</t>
  </si>
  <si>
    <t>220新北市板橋區文化路二段33號1樓</t>
  </si>
  <si>
    <t>賴俐婷</t>
  </si>
  <si>
    <t>pony5126@gmail.com</t>
  </si>
  <si>
    <t>莊欣瑜</t>
  </si>
  <si>
    <t>0919912567，或2611</t>
  </si>
  <si>
    <t>hychuang@ncnu.edu.tw</t>
  </si>
  <si>
    <t>施令慈</t>
  </si>
  <si>
    <t>s105402502@mail1.ncnu.edu.tw</t>
  </si>
  <si>
    <t>陳怡竹</t>
  </si>
  <si>
    <t>s104402512@ncnu.edu.tw</t>
  </si>
  <si>
    <t>蔡捷妤</t>
  </si>
  <si>
    <t>s103402505@mail1.ncnu.edu.tw</t>
  </si>
  <si>
    <t>陳玠妤</t>
  </si>
  <si>
    <t>s102402028@ncnu.edu.tw</t>
  </si>
  <si>
    <t>洪沁童</t>
  </si>
  <si>
    <t>qintongtong@live.cn</t>
  </si>
  <si>
    <t>陳靜瑩</t>
  </si>
  <si>
    <t>chinyin9595@gmail.com</t>
  </si>
  <si>
    <t>陳妍靜</t>
  </si>
  <si>
    <t>s102402011@mail1.ncnu.edu.tw</t>
  </si>
  <si>
    <t>陳薏涵</t>
  </si>
  <si>
    <t>qweasd0988@gmail.com</t>
  </si>
  <si>
    <t>林璽容</t>
  </si>
  <si>
    <t>Kellylin44@yahoo.com.tw</t>
  </si>
  <si>
    <t>汪芯珞</t>
  </si>
  <si>
    <t>lk0911788623@gmail.com</t>
  </si>
  <si>
    <t>余鎮綸</t>
  </si>
  <si>
    <t>inocencioyjl@gmail.com</t>
  </si>
  <si>
    <t>余曉雯</t>
  </si>
  <si>
    <t>monofisch@gmail.com</t>
  </si>
  <si>
    <t>游郁雯</t>
  </si>
  <si>
    <t>s102402006@mail1.ncnu.edu.tw</t>
  </si>
  <si>
    <t>蕭淳憶</t>
  </si>
  <si>
    <t>s102103043@mail1.ncnu.edu.tw</t>
  </si>
  <si>
    <t>盧莉嬿</t>
  </si>
  <si>
    <t>s102103003@mail1.ncnu.edu.tw</t>
  </si>
  <si>
    <t>何臥龍</t>
  </si>
  <si>
    <t>mx542_@msn.com</t>
  </si>
  <si>
    <t>王雪慧</t>
  </si>
  <si>
    <t>wxhbnb@163.com</t>
  </si>
  <si>
    <t>王綺</t>
  </si>
  <si>
    <t>Archery860811@yahoo.com.tw</t>
  </si>
  <si>
    <t>陈禄祯</t>
  </si>
  <si>
    <t>luzhenisme@gmail.com</t>
  </si>
  <si>
    <t>吳佳靜</t>
  </si>
  <si>
    <t>s103103044@mail1.ncnu.edu.tw</t>
  </si>
  <si>
    <t>沈晓彤</t>
  </si>
  <si>
    <t>claire2192@hotmail.com</t>
  </si>
  <si>
    <t>謝欣容</t>
  </si>
  <si>
    <r>
      <rPr>
        <sz val="10"/>
        <color theme="1"/>
        <rFont val="細明體"/>
        <family val="3"/>
        <charset val="136"/>
      </rPr>
      <t>蘋果果醬－</t>
    </r>
    <r>
      <rPr>
        <sz val="10"/>
        <color theme="1"/>
        <rFont val="Arial"/>
        <family val="2"/>
      </rPr>
      <t>100</t>
    </r>
    <phoneticPr fontId="2" type="noConversion"/>
  </si>
  <si>
    <r>
      <rPr>
        <sz val="10"/>
        <color theme="1"/>
        <rFont val="細明體"/>
        <family val="3"/>
        <charset val="136"/>
      </rPr>
      <t>檸檬酸酪果醬－</t>
    </r>
    <r>
      <rPr>
        <sz val="10"/>
        <color theme="1"/>
        <rFont val="Arial"/>
        <family val="2"/>
      </rPr>
      <t>100</t>
    </r>
    <phoneticPr fontId="2" type="noConversion"/>
  </si>
  <si>
    <r>
      <rPr>
        <sz val="10"/>
        <color theme="1"/>
        <rFont val="細明體"/>
        <family val="3"/>
        <charset val="136"/>
      </rPr>
      <t>藍莓蘋果果醬－</t>
    </r>
    <r>
      <rPr>
        <sz val="10"/>
        <color theme="1"/>
        <rFont val="Arial"/>
        <family val="2"/>
      </rPr>
      <t>150</t>
    </r>
    <r>
      <rPr>
        <sz val="10"/>
        <color theme="1"/>
        <rFont val="細明體"/>
        <family val="3"/>
        <charset val="136"/>
      </rPr>
      <t/>
    </r>
    <phoneticPr fontId="2" type="noConversion"/>
  </si>
  <si>
    <r>
      <rPr>
        <sz val="10"/>
        <color theme="1"/>
        <rFont val="細明體"/>
        <family val="3"/>
        <charset val="136"/>
      </rPr>
      <t>藍莓果醬－</t>
    </r>
    <r>
      <rPr>
        <sz val="10"/>
        <color theme="1"/>
        <rFont val="Arial"/>
        <family val="2"/>
      </rPr>
      <t>180</t>
    </r>
    <r>
      <rPr>
        <sz val="10"/>
        <color theme="1"/>
        <rFont val="細明體"/>
        <family val="3"/>
        <charset val="136"/>
      </rPr>
      <t/>
    </r>
    <phoneticPr fontId="2" type="noConversion"/>
  </si>
  <si>
    <r>
      <rPr>
        <sz val="10"/>
        <color theme="1"/>
        <rFont val="細明體"/>
        <family val="3"/>
        <charset val="136"/>
      </rPr>
      <t>覆盆子果醬－</t>
    </r>
    <r>
      <rPr>
        <sz val="10"/>
        <color theme="1"/>
        <rFont val="Arial"/>
        <family val="2"/>
      </rPr>
      <t>180</t>
    </r>
    <phoneticPr fontId="2" type="noConversion"/>
  </si>
  <si>
    <t>宅配地址</t>
    <phoneticPr fontId="2" type="noConversion"/>
  </si>
  <si>
    <t>買十送一</t>
    <phoneticPr fontId="2" type="noConversion"/>
  </si>
  <si>
    <t>訂購人</t>
    <phoneticPr fontId="2" type="noConversion"/>
  </si>
  <si>
    <t>聯絡電話</t>
    <phoneticPr fontId="2" type="noConversion"/>
  </si>
  <si>
    <t>Email</t>
    <phoneticPr fontId="2" type="noConversion"/>
  </si>
  <si>
    <r>
      <rPr>
        <sz val="10"/>
        <color theme="1"/>
        <rFont val="細明體"/>
        <family val="3"/>
        <charset val="136"/>
      </rPr>
      <t>草莓果醬</t>
    </r>
    <r>
      <rPr>
        <sz val="10"/>
        <color theme="1"/>
        <rFont val="Arial"/>
        <family val="2"/>
      </rPr>
      <t>-150</t>
    </r>
    <r>
      <rPr>
        <sz val="10"/>
        <color theme="1"/>
        <rFont val="細明體"/>
        <family val="3"/>
        <charset val="136"/>
      </rPr>
      <t/>
    </r>
    <phoneticPr fontId="2" type="noConversion"/>
  </si>
  <si>
    <r>
      <rPr>
        <sz val="10"/>
        <color theme="1"/>
        <rFont val="細明體"/>
        <family val="3"/>
        <charset val="136"/>
      </rPr>
      <t>覆盆子蘋果果醬</t>
    </r>
    <r>
      <rPr>
        <sz val="10"/>
        <color theme="1"/>
        <rFont val="細明體"/>
        <family val="3"/>
        <charset val="136"/>
      </rPr>
      <t/>
    </r>
    <phoneticPr fontId="2" type="noConversion"/>
  </si>
  <si>
    <t>蔓越莓蘋果果醬</t>
    <phoneticPr fontId="2" type="noConversion"/>
  </si>
  <si>
    <t>覆盆子</t>
    <phoneticPr fontId="2" type="noConversion"/>
  </si>
  <si>
    <t>蔓越莓蘋果</t>
    <phoneticPr fontId="2" type="noConversion"/>
  </si>
  <si>
    <t>取貨狀況</t>
    <phoneticPr fontId="2" type="noConversion"/>
  </si>
  <si>
    <t>總金額</t>
    <phoneticPr fontId="2" type="noConversion"/>
  </si>
  <si>
    <t>檸檬酸酪</t>
    <phoneticPr fontId="2" type="noConversion"/>
  </si>
  <si>
    <t>藍莓</t>
    <phoneticPr fontId="2" type="noConversion"/>
  </si>
  <si>
    <t>Roya14149@gmail.com</t>
  </si>
  <si>
    <t>劉玲均</t>
    <phoneticPr fontId="2" type="noConversion"/>
  </si>
  <si>
    <t>林閑伶</t>
    <phoneticPr fontId="2" type="noConversion"/>
  </si>
  <si>
    <t>張淑敏</t>
    <phoneticPr fontId="2" type="noConversion"/>
  </si>
  <si>
    <t>鄭淑湖</t>
    <phoneticPr fontId="2" type="noConversion"/>
  </si>
  <si>
    <t>林秋音</t>
    <phoneticPr fontId="2" type="noConversion"/>
  </si>
  <si>
    <t>邱慧瑜</t>
    <phoneticPr fontId="2" type="noConversion"/>
  </si>
  <si>
    <t>蔡德鍵</t>
    <phoneticPr fontId="2" type="noConversion"/>
  </si>
  <si>
    <t>交換生用</t>
    <phoneticPr fontId="2" type="noConversion"/>
  </si>
  <si>
    <t>曉雯老師負責</t>
    <phoneticPr fontId="2" type="noConversion"/>
  </si>
  <si>
    <t>百香果150</t>
    <phoneticPr fontId="2" type="noConversion"/>
  </si>
  <si>
    <t>雅琦</t>
    <phoneticPr fontId="2" type="noConversion"/>
  </si>
  <si>
    <t>育棻</t>
    <phoneticPr fontId="2" type="noConversion"/>
  </si>
  <si>
    <t>泓儒</t>
    <phoneticPr fontId="2" type="noConversion"/>
  </si>
  <si>
    <t>如真</t>
    <phoneticPr fontId="2" type="noConversion"/>
  </si>
  <si>
    <t>立言</t>
    <phoneticPr fontId="2" type="noConversion"/>
  </si>
  <si>
    <t>元瑜</t>
    <phoneticPr fontId="2" type="noConversion"/>
  </si>
  <si>
    <t>郁閔</t>
    <phoneticPr fontId="2" type="noConversion"/>
  </si>
  <si>
    <t>趙達瑜老師</t>
    <phoneticPr fontId="2" type="noConversion"/>
  </si>
  <si>
    <t>總計</t>
    <phoneticPr fontId="2" type="noConversion"/>
  </si>
  <si>
    <t>香蓉</t>
    <phoneticPr fontId="2" type="noConversion"/>
  </si>
  <si>
    <t>曉雯老師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</si>
</sst>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>
      <alignment vertical="center"/>
    </xf>
    <xf numFmtId="0" fontId="3" fillId="0" borderId="1" xfId="0" applyFont="1" applyBorder="1" applyAlignment="1" applyProtection="1">
      <alignment wrapText="1"/>
      <protection locked="0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abSelected="1" workbookViewId="0">
      <pane ySplit="1" topLeftCell="A47" activePane="bottomLeft" state="frozen"/>
      <selection pane="bottomLeft" activeCell="C58" sqref="C58"/>
    </sheetView>
  </sheetViews>
  <sheetFormatPr defaultRowHeight="16.5" x14ac:dyDescent="0.25"/>
  <cols>
    <col min="1" max="1" width="10.75" customWidth="1"/>
    <col min="11" max="11" width="9" customWidth="1"/>
    <col min="12" max="12" width="10.25" customWidth="1"/>
    <col min="13" max="13" width="10.75" customWidth="1"/>
    <col min="14" max="14" width="27.375" customWidth="1"/>
    <col min="15" max="15" width="7.125" customWidth="1"/>
    <col min="16" max="16" width="7.75" customWidth="1"/>
    <col min="17" max="17" width="13" customWidth="1"/>
  </cols>
  <sheetData>
    <row r="1" spans="1:17" s="6" customFormat="1" ht="30" customHeight="1" x14ac:dyDescent="0.25">
      <c r="A1" s="2" t="s">
        <v>68</v>
      </c>
      <c r="B1" s="1" t="s">
        <v>61</v>
      </c>
      <c r="C1" s="1" t="s">
        <v>62</v>
      </c>
      <c r="D1" s="1" t="s">
        <v>63</v>
      </c>
      <c r="E1" s="4" t="s">
        <v>72</v>
      </c>
      <c r="F1" s="2" t="s">
        <v>73</v>
      </c>
      <c r="G1" s="1" t="s">
        <v>64</v>
      </c>
      <c r="H1" s="1" t="s">
        <v>65</v>
      </c>
      <c r="I1" s="1" t="s">
        <v>71</v>
      </c>
      <c r="J1" s="2" t="s">
        <v>90</v>
      </c>
      <c r="K1" s="2" t="s">
        <v>66</v>
      </c>
      <c r="L1" s="2" t="s">
        <v>67</v>
      </c>
      <c r="M1" s="2" t="s">
        <v>69</v>
      </c>
      <c r="N1" s="1" t="s">
        <v>70</v>
      </c>
      <c r="O1" s="2" t="s">
        <v>77</v>
      </c>
      <c r="P1" s="2" t="s">
        <v>76</v>
      </c>
      <c r="Q1" s="7"/>
    </row>
    <row r="2" spans="1:17" x14ac:dyDescent="0.25">
      <c r="A2" s="3" t="s">
        <v>0</v>
      </c>
      <c r="B2" s="3">
        <v>4</v>
      </c>
      <c r="C2" s="3"/>
      <c r="D2" s="3">
        <v>2</v>
      </c>
      <c r="E2" s="3">
        <v>1</v>
      </c>
      <c r="F2" s="3">
        <v>1</v>
      </c>
      <c r="G2" s="3">
        <v>2</v>
      </c>
      <c r="H2" s="3">
        <v>1</v>
      </c>
      <c r="I2" s="3"/>
      <c r="J2" s="3"/>
      <c r="K2" s="3"/>
      <c r="L2" s="3" t="s">
        <v>74</v>
      </c>
      <c r="M2" s="3" t="s">
        <v>1</v>
      </c>
      <c r="N2" s="3" t="s">
        <v>2</v>
      </c>
      <c r="O2" s="3">
        <f>SUM(B2*100,C2*100,D2*150,E2*150,F2*150,G2*180,H2*180,I2*150,J2*150)</f>
        <v>1540</v>
      </c>
      <c r="P2" s="3"/>
      <c r="Q2" s="5" t="s">
        <v>89</v>
      </c>
    </row>
    <row r="3" spans="1:17" x14ac:dyDescent="0.25">
      <c r="A3" s="3" t="s">
        <v>3</v>
      </c>
      <c r="B3" s="3"/>
      <c r="C3" s="3"/>
      <c r="D3" s="3">
        <v>1</v>
      </c>
      <c r="E3" s="3">
        <v>1</v>
      </c>
      <c r="F3" s="3"/>
      <c r="G3" s="3"/>
      <c r="H3" s="3"/>
      <c r="I3" s="3"/>
      <c r="J3" s="3"/>
      <c r="K3" s="3"/>
      <c r="L3" s="3"/>
      <c r="M3" s="3">
        <v>979182969</v>
      </c>
      <c r="N3" s="3" t="s">
        <v>4</v>
      </c>
      <c r="O3" s="3">
        <f t="shared" ref="O3:O49" si="0">SUM(B3*100,C3*100,D3*150,E3*150,F3*150,G3*180,H3*180,I3*150,J3*150)</f>
        <v>300</v>
      </c>
      <c r="P3" s="3"/>
      <c r="Q3" s="3"/>
    </row>
    <row r="4" spans="1:17" x14ac:dyDescent="0.25">
      <c r="A4" s="3" t="s">
        <v>6</v>
      </c>
      <c r="B4" s="3">
        <v>3</v>
      </c>
      <c r="C4" s="3"/>
      <c r="D4" s="3">
        <v>1</v>
      </c>
      <c r="E4" s="3">
        <v>1</v>
      </c>
      <c r="F4" s="3">
        <v>1</v>
      </c>
      <c r="G4" s="3">
        <v>2</v>
      </c>
      <c r="H4" s="3">
        <v>3</v>
      </c>
      <c r="I4" s="3"/>
      <c r="J4" s="3"/>
      <c r="K4" s="3" t="s">
        <v>5</v>
      </c>
      <c r="L4" s="3" t="s">
        <v>74</v>
      </c>
      <c r="M4" s="3">
        <v>933169516</v>
      </c>
      <c r="N4" s="3" t="s">
        <v>7</v>
      </c>
      <c r="O4" s="3">
        <f t="shared" si="0"/>
        <v>1650</v>
      </c>
      <c r="P4" s="3"/>
      <c r="Q4" s="3" t="s">
        <v>89</v>
      </c>
    </row>
    <row r="5" spans="1:17" x14ac:dyDescent="0.25">
      <c r="A5" s="3" t="s">
        <v>8</v>
      </c>
      <c r="B5" s="3">
        <v>1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/>
      <c r="M5" s="3">
        <v>903078760</v>
      </c>
      <c r="N5" s="3" t="s">
        <v>9</v>
      </c>
      <c r="O5" s="3">
        <f t="shared" si="0"/>
        <v>400</v>
      </c>
      <c r="P5" s="3"/>
      <c r="Q5" s="3"/>
    </row>
    <row r="6" spans="1:17" x14ac:dyDescent="0.25">
      <c r="A6" s="3" t="s">
        <v>10</v>
      </c>
      <c r="B6" s="3"/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>
        <v>988970410</v>
      </c>
      <c r="N6" s="3" t="s">
        <v>11</v>
      </c>
      <c r="O6" s="3">
        <f t="shared" si="0"/>
        <v>200</v>
      </c>
      <c r="P6" s="3"/>
      <c r="Q6" s="3"/>
    </row>
    <row r="7" spans="1:17" x14ac:dyDescent="0.25">
      <c r="A7" s="3" t="s">
        <v>15</v>
      </c>
      <c r="B7" s="3"/>
      <c r="C7" s="3">
        <v>1</v>
      </c>
      <c r="D7" s="3"/>
      <c r="E7" s="3"/>
      <c r="F7" s="3">
        <v>1</v>
      </c>
      <c r="G7" s="3"/>
      <c r="H7" s="3"/>
      <c r="I7" s="3">
        <v>2</v>
      </c>
      <c r="J7" s="3"/>
      <c r="K7" s="3"/>
      <c r="L7" s="3"/>
      <c r="M7" s="3" t="s">
        <v>16</v>
      </c>
      <c r="N7" s="3" t="s">
        <v>17</v>
      </c>
      <c r="O7" s="3">
        <f t="shared" si="0"/>
        <v>550</v>
      </c>
      <c r="P7" s="3"/>
      <c r="Q7" s="3"/>
    </row>
    <row r="8" spans="1:17" x14ac:dyDescent="0.25">
      <c r="A8" s="3" t="s">
        <v>18</v>
      </c>
      <c r="B8" s="3">
        <v>5</v>
      </c>
      <c r="C8" s="3"/>
      <c r="D8" s="3"/>
      <c r="E8" s="3"/>
      <c r="F8" s="3">
        <v>1</v>
      </c>
      <c r="G8" s="3"/>
      <c r="H8" s="3"/>
      <c r="I8" s="3">
        <v>5</v>
      </c>
      <c r="J8" s="3"/>
      <c r="K8" s="3"/>
      <c r="L8" s="3" t="s">
        <v>75</v>
      </c>
      <c r="M8" s="3">
        <v>920638635</v>
      </c>
      <c r="N8" s="3" t="s">
        <v>19</v>
      </c>
      <c r="O8" s="3">
        <f t="shared" si="0"/>
        <v>1400</v>
      </c>
      <c r="P8" s="3"/>
      <c r="Q8" s="3"/>
    </row>
    <row r="9" spans="1:17" x14ac:dyDescent="0.25">
      <c r="A9" s="3" t="s">
        <v>20</v>
      </c>
      <c r="B9" s="3"/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>
        <v>911188724</v>
      </c>
      <c r="N9" s="3" t="s">
        <v>21</v>
      </c>
      <c r="O9" s="3">
        <f t="shared" si="0"/>
        <v>150</v>
      </c>
      <c r="P9" s="3"/>
      <c r="Q9" s="3"/>
    </row>
    <row r="10" spans="1:17" x14ac:dyDescent="0.25">
      <c r="A10" s="3" t="s">
        <v>13</v>
      </c>
      <c r="B10" s="3">
        <v>2</v>
      </c>
      <c r="C10" s="3">
        <v>2</v>
      </c>
      <c r="D10" s="3">
        <v>2</v>
      </c>
      <c r="E10" s="3">
        <v>3</v>
      </c>
      <c r="F10" s="3">
        <v>2</v>
      </c>
      <c r="G10" s="3">
        <v>1</v>
      </c>
      <c r="H10" s="3">
        <v>1</v>
      </c>
      <c r="I10" s="3"/>
      <c r="J10" s="3"/>
      <c r="K10" s="3" t="s">
        <v>12</v>
      </c>
      <c r="L10" s="3" t="s">
        <v>74</v>
      </c>
      <c r="M10" s="3">
        <v>975196753</v>
      </c>
      <c r="N10" s="3" t="s">
        <v>14</v>
      </c>
      <c r="O10" s="3">
        <f t="shared" si="0"/>
        <v>1810</v>
      </c>
      <c r="P10" s="3"/>
      <c r="Q10" s="3"/>
    </row>
    <row r="11" spans="1:17" x14ac:dyDescent="0.25">
      <c r="A11" s="3" t="s">
        <v>22</v>
      </c>
      <c r="B11" s="3"/>
      <c r="C11" s="3"/>
      <c r="D11" s="3"/>
      <c r="E11" s="3"/>
      <c r="F11" s="3"/>
      <c r="G11" s="3"/>
      <c r="H11" s="3"/>
      <c r="I11" s="3">
        <v>2</v>
      </c>
      <c r="J11" s="3"/>
      <c r="K11" s="3"/>
      <c r="L11" s="3"/>
      <c r="M11" s="3">
        <v>923910901</v>
      </c>
      <c r="N11" s="3" t="s">
        <v>23</v>
      </c>
      <c r="O11" s="3">
        <f t="shared" si="0"/>
        <v>300</v>
      </c>
      <c r="P11" s="3"/>
      <c r="Q11" s="3"/>
    </row>
    <row r="12" spans="1:17" x14ac:dyDescent="0.25">
      <c r="A12" s="3" t="s">
        <v>24</v>
      </c>
      <c r="B12" s="3"/>
      <c r="C12" s="3">
        <v>1</v>
      </c>
      <c r="D12" s="3"/>
      <c r="E12" s="3"/>
      <c r="F12" s="3"/>
      <c r="G12" s="3"/>
      <c r="H12" s="3"/>
      <c r="I12" s="3">
        <v>2</v>
      </c>
      <c r="J12" s="3"/>
      <c r="K12" s="3"/>
      <c r="L12" s="3"/>
      <c r="M12" s="3">
        <v>963985771</v>
      </c>
      <c r="N12" s="3" t="s">
        <v>25</v>
      </c>
      <c r="O12" s="3">
        <f t="shared" si="0"/>
        <v>400</v>
      </c>
      <c r="P12" s="3"/>
      <c r="Q12" s="3"/>
    </row>
    <row r="13" spans="1:17" x14ac:dyDescent="0.25">
      <c r="A13" s="3" t="s">
        <v>26</v>
      </c>
      <c r="B13" s="3">
        <v>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v>988648266</v>
      </c>
      <c r="N13" s="3" t="s">
        <v>27</v>
      </c>
      <c r="O13" s="3">
        <f t="shared" si="0"/>
        <v>100</v>
      </c>
      <c r="P13" s="3"/>
      <c r="Q13" s="3"/>
    </row>
    <row r="14" spans="1:17" x14ac:dyDescent="0.25">
      <c r="A14" s="3" t="s">
        <v>22</v>
      </c>
      <c r="B14" s="3"/>
      <c r="C14" s="3"/>
      <c r="D14" s="3"/>
      <c r="E14" s="3"/>
      <c r="F14" s="3"/>
      <c r="G14" s="3"/>
      <c r="H14" s="3"/>
      <c r="I14" s="3">
        <v>1</v>
      </c>
      <c r="J14" s="3"/>
      <c r="K14" s="3"/>
      <c r="L14" s="3"/>
      <c r="M14" s="3">
        <v>923910901</v>
      </c>
      <c r="N14" s="3" t="s">
        <v>23</v>
      </c>
      <c r="O14" s="3">
        <f t="shared" si="0"/>
        <v>150</v>
      </c>
      <c r="P14" s="3"/>
      <c r="Q14" s="3"/>
    </row>
    <row r="15" spans="1:17" x14ac:dyDescent="0.25">
      <c r="A15" s="3" t="s">
        <v>28</v>
      </c>
      <c r="B15" s="3"/>
      <c r="C15" s="3"/>
      <c r="D15" s="3"/>
      <c r="E15" s="3"/>
      <c r="F15" s="3"/>
      <c r="G15" s="3"/>
      <c r="H15" s="3"/>
      <c r="I15" s="3">
        <v>1</v>
      </c>
      <c r="J15" s="3"/>
      <c r="K15" s="3"/>
      <c r="L15" s="3"/>
      <c r="M15" s="3">
        <v>978787684</v>
      </c>
      <c r="N15" s="3" t="s">
        <v>29</v>
      </c>
      <c r="O15" s="3">
        <f t="shared" si="0"/>
        <v>150</v>
      </c>
      <c r="P15" s="3"/>
      <c r="Q15" s="3"/>
    </row>
    <row r="16" spans="1:17" x14ac:dyDescent="0.25">
      <c r="A16" s="3" t="s">
        <v>30</v>
      </c>
      <c r="B16" s="3"/>
      <c r="C16" s="3"/>
      <c r="D16" s="3"/>
      <c r="E16" s="3"/>
      <c r="F16" s="3"/>
      <c r="G16" s="3"/>
      <c r="H16" s="3"/>
      <c r="I16" s="3">
        <v>1</v>
      </c>
      <c r="J16" s="3"/>
      <c r="K16" s="3"/>
      <c r="L16" s="3"/>
      <c r="M16" s="3">
        <v>912018656</v>
      </c>
      <c r="N16" s="3" t="s">
        <v>31</v>
      </c>
      <c r="O16" s="3">
        <f t="shared" si="0"/>
        <v>150</v>
      </c>
      <c r="P16" s="3"/>
      <c r="Q16" s="3"/>
    </row>
    <row r="17" spans="1:17" x14ac:dyDescent="0.25">
      <c r="A17" s="3" t="s">
        <v>32</v>
      </c>
      <c r="B17" s="3"/>
      <c r="C17" s="3"/>
      <c r="D17" s="3"/>
      <c r="E17" s="3"/>
      <c r="F17" s="3"/>
      <c r="G17" s="3"/>
      <c r="H17" s="3"/>
      <c r="I17" s="3">
        <v>1</v>
      </c>
      <c r="J17" s="3"/>
      <c r="K17" s="3"/>
      <c r="L17" s="3"/>
      <c r="M17" s="3">
        <v>988265532</v>
      </c>
      <c r="N17" s="3" t="s">
        <v>33</v>
      </c>
      <c r="O17" s="3">
        <f t="shared" si="0"/>
        <v>150</v>
      </c>
      <c r="P17" s="3"/>
      <c r="Q17" s="3"/>
    </row>
    <row r="18" spans="1:17" x14ac:dyDescent="0.25">
      <c r="A18" s="3" t="s">
        <v>34</v>
      </c>
      <c r="B18" s="3"/>
      <c r="C18" s="3">
        <v>1</v>
      </c>
      <c r="D18" s="3"/>
      <c r="E18" s="3"/>
      <c r="F18" s="3"/>
      <c r="G18" s="3"/>
      <c r="H18" s="3"/>
      <c r="I18" s="3"/>
      <c r="J18" s="3"/>
      <c r="K18" s="3"/>
      <c r="L18" s="3"/>
      <c r="M18" s="3">
        <v>929520321</v>
      </c>
      <c r="N18" s="3" t="s">
        <v>35</v>
      </c>
      <c r="O18" s="3">
        <f t="shared" si="0"/>
        <v>100</v>
      </c>
      <c r="P18" s="3"/>
      <c r="Q18" s="3"/>
    </row>
    <row r="19" spans="1:17" x14ac:dyDescent="0.25">
      <c r="A19" s="3" t="s">
        <v>36</v>
      </c>
      <c r="B19" s="3"/>
      <c r="C19" s="3"/>
      <c r="D19" s="3">
        <v>1</v>
      </c>
      <c r="E19" s="3">
        <v>1</v>
      </c>
      <c r="F19" s="3"/>
      <c r="G19" s="3"/>
      <c r="H19" s="3"/>
      <c r="I19" s="3"/>
      <c r="J19" s="3"/>
      <c r="K19" s="3"/>
      <c r="L19" s="3"/>
      <c r="M19" s="3">
        <v>905780343</v>
      </c>
      <c r="N19" s="3" t="s">
        <v>37</v>
      </c>
      <c r="O19" s="3">
        <f t="shared" si="0"/>
        <v>300</v>
      </c>
      <c r="P19" s="3"/>
      <c r="Q19" s="3"/>
    </row>
    <row r="20" spans="1:17" x14ac:dyDescent="0.25">
      <c r="A20" s="3" t="s">
        <v>38</v>
      </c>
      <c r="B20" s="3"/>
      <c r="C20" s="3">
        <v>1</v>
      </c>
      <c r="D20" s="3"/>
      <c r="E20" s="3">
        <v>1</v>
      </c>
      <c r="F20" s="3"/>
      <c r="G20" s="3"/>
      <c r="H20" s="3"/>
      <c r="I20" s="3">
        <v>1</v>
      </c>
      <c r="J20" s="3"/>
      <c r="K20" s="3"/>
      <c r="L20" s="3"/>
      <c r="M20" s="3">
        <v>972137695</v>
      </c>
      <c r="N20" s="3" t="s">
        <v>39</v>
      </c>
      <c r="O20" s="3">
        <f t="shared" si="0"/>
        <v>400</v>
      </c>
      <c r="P20" s="3"/>
      <c r="Q20" s="3"/>
    </row>
    <row r="21" spans="1:17" x14ac:dyDescent="0.25">
      <c r="A21" s="3" t="s">
        <v>40</v>
      </c>
      <c r="B21" s="3"/>
      <c r="C21" s="3"/>
      <c r="D21" s="3"/>
      <c r="E21" s="3"/>
      <c r="F21" s="3"/>
      <c r="G21" s="3"/>
      <c r="H21" s="3"/>
      <c r="I21" s="3">
        <v>3</v>
      </c>
      <c r="J21" s="3"/>
      <c r="K21" s="3"/>
      <c r="L21" s="3"/>
      <c r="M21" s="3">
        <v>922816212</v>
      </c>
      <c r="N21" s="3" t="s">
        <v>41</v>
      </c>
      <c r="O21" s="3">
        <f t="shared" si="0"/>
        <v>450</v>
      </c>
      <c r="P21" s="3"/>
      <c r="Q21" s="3"/>
    </row>
    <row r="22" spans="1:17" x14ac:dyDescent="0.25">
      <c r="A22" s="3" t="s">
        <v>42</v>
      </c>
      <c r="B22" s="3"/>
      <c r="C22" s="3"/>
      <c r="D22" s="3"/>
      <c r="E22" s="3"/>
      <c r="F22" s="3"/>
      <c r="G22" s="3"/>
      <c r="H22" s="3">
        <v>1</v>
      </c>
      <c r="I22" s="3"/>
      <c r="J22" s="3"/>
      <c r="K22" s="3"/>
      <c r="L22" s="3"/>
      <c r="M22" s="3">
        <v>919668997</v>
      </c>
      <c r="N22" s="3" t="s">
        <v>43</v>
      </c>
      <c r="O22" s="3">
        <f t="shared" si="0"/>
        <v>180</v>
      </c>
      <c r="P22" s="3"/>
      <c r="Q22" s="3"/>
    </row>
    <row r="23" spans="1:17" x14ac:dyDescent="0.25">
      <c r="A23" s="3" t="s">
        <v>44</v>
      </c>
      <c r="B23" s="3"/>
      <c r="C23" s="3">
        <v>1</v>
      </c>
      <c r="D23" s="3"/>
      <c r="E23" s="3"/>
      <c r="F23" s="3"/>
      <c r="G23" s="3"/>
      <c r="H23" s="3">
        <v>1</v>
      </c>
      <c r="I23" s="3"/>
      <c r="J23" s="3"/>
      <c r="K23" s="3"/>
      <c r="L23" s="3"/>
      <c r="M23" s="3">
        <v>928192210</v>
      </c>
      <c r="N23" s="3" t="s">
        <v>45</v>
      </c>
      <c r="O23" s="3">
        <f t="shared" si="0"/>
        <v>280</v>
      </c>
      <c r="P23" s="3"/>
      <c r="Q23" s="3"/>
    </row>
    <row r="24" spans="1:17" x14ac:dyDescent="0.25">
      <c r="A24" s="3" t="s">
        <v>46</v>
      </c>
      <c r="B24" s="3"/>
      <c r="C24" s="3">
        <v>1</v>
      </c>
      <c r="D24" s="3"/>
      <c r="E24" s="3"/>
      <c r="F24" s="3"/>
      <c r="G24" s="3"/>
      <c r="H24" s="3"/>
      <c r="I24" s="3"/>
      <c r="J24" s="3"/>
      <c r="K24" s="3"/>
      <c r="L24" s="3"/>
      <c r="M24" s="3">
        <v>921277725</v>
      </c>
      <c r="N24" s="3" t="s">
        <v>47</v>
      </c>
      <c r="O24" s="3">
        <f t="shared" si="0"/>
        <v>100</v>
      </c>
      <c r="P24" s="3"/>
      <c r="Q24" s="3"/>
    </row>
    <row r="25" spans="1:17" x14ac:dyDescent="0.25">
      <c r="A25" s="3" t="s">
        <v>48</v>
      </c>
      <c r="B25" s="3">
        <v>2</v>
      </c>
      <c r="C25" s="3">
        <v>3</v>
      </c>
      <c r="D25" s="3"/>
      <c r="E25" s="3"/>
      <c r="F25" s="3">
        <v>1</v>
      </c>
      <c r="G25" s="3">
        <v>4</v>
      </c>
      <c r="H25" s="3">
        <v>1</v>
      </c>
      <c r="I25" s="3">
        <v>2</v>
      </c>
      <c r="J25" s="3"/>
      <c r="K25" s="3"/>
      <c r="L25" s="3" t="s">
        <v>75</v>
      </c>
      <c r="M25" s="3">
        <v>963013345</v>
      </c>
      <c r="N25" s="3" t="s">
        <v>49</v>
      </c>
      <c r="O25" s="3">
        <f t="shared" si="0"/>
        <v>1850</v>
      </c>
      <c r="P25" s="3"/>
      <c r="Q25" s="3"/>
    </row>
    <row r="26" spans="1:17" x14ac:dyDescent="0.25">
      <c r="A26" s="3" t="s">
        <v>50</v>
      </c>
      <c r="B26" s="3"/>
      <c r="C26" s="3">
        <v>2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>
        <v>979043834</v>
      </c>
      <c r="N26" s="3" t="s">
        <v>51</v>
      </c>
      <c r="O26" s="3">
        <f t="shared" si="0"/>
        <v>350</v>
      </c>
      <c r="P26" s="3"/>
      <c r="Q26" s="3"/>
    </row>
    <row r="27" spans="1:17" x14ac:dyDescent="0.25">
      <c r="A27" s="3" t="s">
        <v>52</v>
      </c>
      <c r="B27" s="3"/>
      <c r="C27" s="3">
        <v>2</v>
      </c>
      <c r="D27" s="3"/>
      <c r="E27" s="3"/>
      <c r="F27" s="3"/>
      <c r="G27" s="3"/>
      <c r="H27" s="3"/>
      <c r="I27" s="3"/>
      <c r="J27" s="3"/>
      <c r="K27" s="3"/>
      <c r="L27" s="3" t="s">
        <v>78</v>
      </c>
      <c r="M27" s="3">
        <v>970860291</v>
      </c>
      <c r="N27" s="3" t="s">
        <v>53</v>
      </c>
      <c r="O27" s="3">
        <f t="shared" si="0"/>
        <v>200</v>
      </c>
      <c r="P27" s="3"/>
      <c r="Q27" s="3"/>
    </row>
    <row r="28" spans="1:17" x14ac:dyDescent="0.25">
      <c r="A28" s="3" t="s">
        <v>54</v>
      </c>
      <c r="B28" s="3"/>
      <c r="C28" s="3">
        <v>1</v>
      </c>
      <c r="D28" s="3">
        <v>1</v>
      </c>
      <c r="E28" s="3"/>
      <c r="F28" s="3">
        <v>1</v>
      </c>
      <c r="G28" s="3"/>
      <c r="H28" s="3"/>
      <c r="I28" s="3"/>
      <c r="J28" s="3"/>
      <c r="K28" s="3"/>
      <c r="L28" s="3"/>
      <c r="M28" s="3">
        <v>988741986</v>
      </c>
      <c r="N28" s="3" t="s">
        <v>55</v>
      </c>
      <c r="O28" s="3">
        <f t="shared" si="0"/>
        <v>400</v>
      </c>
      <c r="P28" s="3"/>
      <c r="Q28" s="3"/>
    </row>
    <row r="29" spans="1:17" x14ac:dyDescent="0.25">
      <c r="A29" s="3" t="s">
        <v>56</v>
      </c>
      <c r="B29" s="3"/>
      <c r="C29" s="3"/>
      <c r="D29" s="3"/>
      <c r="E29" s="3"/>
      <c r="F29" s="3"/>
      <c r="G29" s="3">
        <v>1</v>
      </c>
      <c r="H29" s="3"/>
      <c r="I29" s="3"/>
      <c r="J29" s="3"/>
      <c r="K29" s="3"/>
      <c r="L29" s="3"/>
      <c r="M29" s="3">
        <v>972214435</v>
      </c>
      <c r="N29" s="3" t="s">
        <v>57</v>
      </c>
      <c r="O29" s="3">
        <f t="shared" si="0"/>
        <v>180</v>
      </c>
      <c r="P29" s="3"/>
      <c r="Q29" s="3"/>
    </row>
    <row r="30" spans="1:17" x14ac:dyDescent="0.25">
      <c r="A30" s="3" t="s">
        <v>58</v>
      </c>
      <c r="B30" s="3"/>
      <c r="C30" s="3">
        <v>1</v>
      </c>
      <c r="D30" s="3"/>
      <c r="E30" s="3"/>
      <c r="F30" s="3"/>
      <c r="G30" s="3"/>
      <c r="H30" s="3"/>
      <c r="I30" s="3"/>
      <c r="J30" s="3"/>
      <c r="K30" s="3"/>
      <c r="L30" s="3"/>
      <c r="M30" s="3">
        <v>905619995</v>
      </c>
      <c r="N30" s="3" t="s">
        <v>59</v>
      </c>
      <c r="O30" s="3">
        <f t="shared" si="0"/>
        <v>100</v>
      </c>
      <c r="P30" s="3"/>
      <c r="Q30" s="3"/>
    </row>
    <row r="31" spans="1:17" x14ac:dyDescent="0.25">
      <c r="A31" s="3" t="s">
        <v>60</v>
      </c>
      <c r="B31" s="3">
        <v>2</v>
      </c>
      <c r="C31" s="3"/>
      <c r="D31" s="3">
        <v>2</v>
      </c>
      <c r="E31" s="3">
        <v>2</v>
      </c>
      <c r="F31" s="3">
        <v>2</v>
      </c>
      <c r="G31" s="3">
        <v>2</v>
      </c>
      <c r="H31" s="3">
        <v>1</v>
      </c>
      <c r="I31" s="3"/>
      <c r="J31" s="3"/>
      <c r="K31" s="3"/>
      <c r="L31" s="3" t="s">
        <v>79</v>
      </c>
      <c r="M31" s="3">
        <v>978567521</v>
      </c>
      <c r="N31" s="3" t="s">
        <v>80</v>
      </c>
      <c r="O31" s="3">
        <f t="shared" si="0"/>
        <v>1640</v>
      </c>
      <c r="P31" s="3"/>
      <c r="Q31" s="3"/>
    </row>
    <row r="32" spans="1:17" x14ac:dyDescent="0.25">
      <c r="A32" s="5" t="s">
        <v>81</v>
      </c>
      <c r="B32" s="3"/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3"/>
      <c r="N32" s="3"/>
      <c r="O32" s="3">
        <f t="shared" si="0"/>
        <v>150</v>
      </c>
      <c r="P32" s="3"/>
      <c r="Q32" s="3"/>
    </row>
    <row r="33" spans="1:17" x14ac:dyDescent="0.25">
      <c r="A33" s="5" t="s">
        <v>82</v>
      </c>
      <c r="B33" s="3">
        <v>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100</v>
      </c>
      <c r="P33" s="3"/>
      <c r="Q33" s="3"/>
    </row>
    <row r="34" spans="1:17" x14ac:dyDescent="0.25">
      <c r="A34" s="5" t="s">
        <v>83</v>
      </c>
      <c r="B34" s="3"/>
      <c r="C34" s="3"/>
      <c r="D34" s="3"/>
      <c r="E34" s="3"/>
      <c r="F34" s="3">
        <v>1</v>
      </c>
      <c r="G34" s="3"/>
      <c r="H34" s="3"/>
      <c r="I34" s="3"/>
      <c r="J34" s="3"/>
      <c r="K34" s="3"/>
      <c r="L34" s="3"/>
      <c r="M34" s="3"/>
      <c r="N34" s="3"/>
      <c r="O34" s="3">
        <f t="shared" si="0"/>
        <v>150</v>
      </c>
      <c r="P34" s="3"/>
      <c r="Q34" s="3"/>
    </row>
    <row r="35" spans="1:17" x14ac:dyDescent="0.25">
      <c r="A35" s="5" t="s">
        <v>84</v>
      </c>
      <c r="B35" s="3"/>
      <c r="C35" s="3"/>
      <c r="D35" s="3"/>
      <c r="E35" s="3"/>
      <c r="F35" s="3"/>
      <c r="G35" s="3">
        <v>1</v>
      </c>
      <c r="H35" s="3"/>
      <c r="I35" s="3"/>
      <c r="J35" s="3"/>
      <c r="K35" s="3"/>
      <c r="L35" s="3"/>
      <c r="M35" s="3"/>
      <c r="N35" s="3"/>
      <c r="O35" s="3">
        <f t="shared" si="0"/>
        <v>180</v>
      </c>
      <c r="P35" s="3"/>
      <c r="Q35" s="3"/>
    </row>
    <row r="36" spans="1:17" x14ac:dyDescent="0.25">
      <c r="A36" s="5" t="s">
        <v>85</v>
      </c>
      <c r="B36" s="3">
        <v>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100</v>
      </c>
      <c r="P36" s="3"/>
      <c r="Q36" s="3"/>
    </row>
    <row r="37" spans="1:17" x14ac:dyDescent="0.25">
      <c r="A37" s="5" t="s">
        <v>86</v>
      </c>
      <c r="B37" s="3"/>
      <c r="C37" s="3">
        <v>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100</v>
      </c>
      <c r="P37" s="3"/>
      <c r="Q37" s="3"/>
    </row>
    <row r="38" spans="1:17" x14ac:dyDescent="0.25">
      <c r="A38" s="5" t="s">
        <v>87</v>
      </c>
      <c r="B38" s="3">
        <v>1</v>
      </c>
      <c r="C38" s="3">
        <v>1</v>
      </c>
      <c r="D38" s="3"/>
      <c r="E38" s="3"/>
      <c r="F38" s="3">
        <v>1</v>
      </c>
      <c r="G38" s="3">
        <v>1</v>
      </c>
      <c r="H38" s="3"/>
      <c r="I38" s="3"/>
      <c r="J38" s="3"/>
      <c r="K38" s="3"/>
      <c r="L38" s="3"/>
      <c r="M38" s="3"/>
      <c r="N38" s="3"/>
      <c r="O38" s="3">
        <f t="shared" si="0"/>
        <v>530</v>
      </c>
      <c r="P38" s="3"/>
      <c r="Q38" s="3"/>
    </row>
    <row r="39" spans="1:17" x14ac:dyDescent="0.25">
      <c r="A39" s="5" t="s">
        <v>88</v>
      </c>
      <c r="B39" s="3"/>
      <c r="C39" s="3"/>
      <c r="D39" s="3"/>
      <c r="E39" s="3"/>
      <c r="F39" s="3"/>
      <c r="G39" s="3"/>
      <c r="H39" s="3"/>
      <c r="I39" s="3">
        <v>3</v>
      </c>
      <c r="J39" s="3"/>
      <c r="K39" s="3"/>
      <c r="L39" s="3"/>
      <c r="M39" s="3"/>
      <c r="N39" s="3"/>
      <c r="O39" s="3">
        <f t="shared" si="0"/>
        <v>450</v>
      </c>
      <c r="P39" s="3"/>
      <c r="Q39" s="3"/>
    </row>
    <row r="40" spans="1:17" x14ac:dyDescent="0.25">
      <c r="A40" s="5" t="s">
        <v>91</v>
      </c>
      <c r="B40" s="3"/>
      <c r="C40" s="3"/>
      <c r="D40" s="3"/>
      <c r="E40" s="3"/>
      <c r="F40" s="3"/>
      <c r="G40" s="3"/>
      <c r="H40" s="3"/>
      <c r="I40" s="3"/>
      <c r="J40" s="3">
        <v>1</v>
      </c>
      <c r="K40" s="3"/>
      <c r="L40" s="3"/>
      <c r="M40" s="3"/>
      <c r="N40" s="3"/>
      <c r="O40" s="3">
        <f t="shared" si="0"/>
        <v>150</v>
      </c>
      <c r="P40" s="3"/>
      <c r="Q40" s="3"/>
    </row>
    <row r="41" spans="1:17" x14ac:dyDescent="0.25">
      <c r="A41" s="5" t="s">
        <v>92</v>
      </c>
      <c r="B41" s="3"/>
      <c r="C41" s="3"/>
      <c r="D41" s="3"/>
      <c r="E41" s="3"/>
      <c r="F41" s="3"/>
      <c r="G41" s="3"/>
      <c r="H41" s="3"/>
      <c r="I41" s="3"/>
      <c r="J41" s="3">
        <v>1</v>
      </c>
      <c r="K41" s="3"/>
      <c r="L41" s="3"/>
      <c r="M41" s="3"/>
      <c r="N41" s="3"/>
      <c r="O41" s="3">
        <f t="shared" si="0"/>
        <v>150</v>
      </c>
      <c r="P41" s="3"/>
      <c r="Q41" s="3"/>
    </row>
    <row r="42" spans="1:17" x14ac:dyDescent="0.25">
      <c r="A42" s="5" t="s">
        <v>93</v>
      </c>
      <c r="B42" s="3"/>
      <c r="C42" s="3"/>
      <c r="D42" s="3"/>
      <c r="E42" s="3"/>
      <c r="F42" s="3"/>
      <c r="G42" s="3"/>
      <c r="H42" s="3"/>
      <c r="I42" s="3"/>
      <c r="J42" s="3">
        <v>1</v>
      </c>
      <c r="K42" s="3"/>
      <c r="L42" s="3"/>
      <c r="M42" s="3"/>
      <c r="N42" s="3"/>
      <c r="O42" s="3">
        <f t="shared" si="0"/>
        <v>150</v>
      </c>
      <c r="P42" s="3"/>
      <c r="Q42" s="3"/>
    </row>
    <row r="43" spans="1:17" x14ac:dyDescent="0.25">
      <c r="A43" s="5" t="s">
        <v>94</v>
      </c>
      <c r="B43" s="3"/>
      <c r="C43" s="3"/>
      <c r="D43" s="3"/>
      <c r="E43" s="3"/>
      <c r="F43" s="3"/>
      <c r="G43" s="3"/>
      <c r="H43" s="3"/>
      <c r="I43" s="3"/>
      <c r="J43" s="3">
        <v>1</v>
      </c>
      <c r="K43" s="3"/>
      <c r="L43" s="3"/>
      <c r="M43" s="3"/>
      <c r="N43" s="3"/>
      <c r="O43" s="3">
        <f t="shared" si="0"/>
        <v>150</v>
      </c>
      <c r="P43" s="3"/>
      <c r="Q43" s="3"/>
    </row>
    <row r="44" spans="1:17" x14ac:dyDescent="0.25">
      <c r="A44" s="5" t="s">
        <v>95</v>
      </c>
      <c r="B44" s="3"/>
      <c r="C44" s="3"/>
      <c r="D44" s="3"/>
      <c r="E44" s="3"/>
      <c r="F44" s="3"/>
      <c r="G44" s="3"/>
      <c r="H44" s="3"/>
      <c r="I44" s="3"/>
      <c r="J44" s="3">
        <v>1</v>
      </c>
      <c r="K44" s="3"/>
      <c r="L44" s="3"/>
      <c r="M44" s="3"/>
      <c r="N44" s="3"/>
      <c r="O44" s="3">
        <f t="shared" si="0"/>
        <v>150</v>
      </c>
      <c r="P44" s="3"/>
      <c r="Q44" s="3"/>
    </row>
    <row r="45" spans="1:17" x14ac:dyDescent="0.25">
      <c r="A45" s="5" t="s">
        <v>97</v>
      </c>
      <c r="B45" s="3"/>
      <c r="C45" s="3"/>
      <c r="D45" s="3"/>
      <c r="E45" s="3"/>
      <c r="F45" s="3"/>
      <c r="G45" s="3"/>
      <c r="H45" s="3"/>
      <c r="I45" s="3"/>
      <c r="J45" s="3">
        <v>2</v>
      </c>
      <c r="K45" s="3"/>
      <c r="L45" s="3"/>
      <c r="M45" s="3"/>
      <c r="N45" s="3"/>
      <c r="O45" s="3">
        <f t="shared" si="0"/>
        <v>300</v>
      </c>
      <c r="P45" s="3"/>
      <c r="Q45" s="3"/>
    </row>
    <row r="46" spans="1:17" x14ac:dyDescent="0.25">
      <c r="A46" s="5" t="s">
        <v>101</v>
      </c>
      <c r="B46" s="3"/>
      <c r="C46" s="3"/>
      <c r="D46" s="3"/>
      <c r="E46" s="3"/>
      <c r="F46" s="3"/>
      <c r="G46" s="3"/>
      <c r="H46" s="3"/>
      <c r="I46" s="3"/>
      <c r="J46" s="3">
        <v>1</v>
      </c>
      <c r="K46" s="3"/>
      <c r="L46" s="3"/>
      <c r="M46" s="3"/>
      <c r="N46" s="3"/>
      <c r="O46" s="3">
        <f t="shared" si="0"/>
        <v>150</v>
      </c>
      <c r="P46" s="3"/>
      <c r="Q46" s="3"/>
    </row>
    <row r="47" spans="1:17" x14ac:dyDescent="0.25">
      <c r="A47" s="5" t="s">
        <v>96</v>
      </c>
      <c r="B47" s="3"/>
      <c r="C47" s="3"/>
      <c r="D47" s="3"/>
      <c r="E47" s="3"/>
      <c r="F47" s="3"/>
      <c r="G47" s="3"/>
      <c r="H47" s="3"/>
      <c r="I47" s="3"/>
      <c r="J47" s="3">
        <v>1</v>
      </c>
      <c r="K47" s="3"/>
      <c r="L47" s="3"/>
      <c r="M47" s="3"/>
      <c r="N47" s="3"/>
      <c r="O47" s="3">
        <f t="shared" si="0"/>
        <v>150</v>
      </c>
      <c r="P47" s="3"/>
      <c r="Q47" s="3"/>
    </row>
    <row r="48" spans="1:17" x14ac:dyDescent="0.25">
      <c r="A48" s="5" t="s">
        <v>98</v>
      </c>
      <c r="B48" s="3">
        <v>1</v>
      </c>
      <c r="C48" s="3"/>
      <c r="D48" s="3"/>
      <c r="E48" s="3">
        <v>1</v>
      </c>
      <c r="F48" s="3"/>
      <c r="G48" s="3">
        <v>1</v>
      </c>
      <c r="H48" s="3"/>
      <c r="I48" s="3"/>
      <c r="J48" s="3"/>
      <c r="K48" s="3"/>
      <c r="L48" s="3"/>
      <c r="M48" s="3"/>
      <c r="N48" s="3"/>
      <c r="O48" s="3">
        <f t="shared" si="0"/>
        <v>430</v>
      </c>
      <c r="P48" s="3"/>
      <c r="Q48" s="3"/>
    </row>
    <row r="49" spans="1:17" x14ac:dyDescent="0.25">
      <c r="A49" s="5" t="s">
        <v>100</v>
      </c>
      <c r="B49" s="3"/>
      <c r="C49" s="3"/>
      <c r="D49" s="3">
        <v>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>
        <f t="shared" si="0"/>
        <v>150</v>
      </c>
      <c r="P49" s="3"/>
      <c r="Q49" s="3"/>
    </row>
    <row r="50" spans="1:17" x14ac:dyDescent="0.25">
      <c r="A50" s="3" t="s">
        <v>99</v>
      </c>
      <c r="B50" s="3">
        <f>SUM(B2:B49)</f>
        <v>24</v>
      </c>
      <c r="C50" s="3">
        <f t="shared" ref="C50:J50" si="1">SUM(C2:C49)</f>
        <v>24</v>
      </c>
      <c r="D50" s="3">
        <f t="shared" si="1"/>
        <v>11</v>
      </c>
      <c r="E50" s="3">
        <f t="shared" si="1"/>
        <v>11</v>
      </c>
      <c r="F50" s="3">
        <f t="shared" si="1"/>
        <v>14</v>
      </c>
      <c r="G50" s="3">
        <f t="shared" si="1"/>
        <v>15</v>
      </c>
      <c r="H50" s="3">
        <f t="shared" si="1"/>
        <v>9</v>
      </c>
      <c r="I50" s="3">
        <f t="shared" si="1"/>
        <v>25</v>
      </c>
      <c r="J50" s="3">
        <f t="shared" si="1"/>
        <v>9</v>
      </c>
      <c r="K50" s="3"/>
      <c r="L50" s="3"/>
      <c r="M50" s="3"/>
      <c r="N50" s="3"/>
      <c r="O50" s="3">
        <f>SUM(O2:O49)</f>
        <v>19620</v>
      </c>
      <c r="P50" s="3"/>
      <c r="Q50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2016-11-24T15:38:57Z</dcterms:created>
  <dcterms:modified xsi:type="dcterms:W3CDTF">2016-11-25T13:42:55Z</dcterms:modified>
</cp:coreProperties>
</file>