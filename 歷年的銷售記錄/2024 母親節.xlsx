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小文文\募資\訂單\2024\母親節\"/>
    </mc:Choice>
  </mc:AlternateContent>
  <bookViews>
    <workbookView xWindow="0" yWindow="0" windowWidth="19200" windowHeight="6990"/>
  </bookViews>
  <sheets>
    <sheet name="表單回應1" sheetId="1" r:id="rId1"/>
  </sheets>
  <calcPr calcId="162913"/>
</workbook>
</file>

<file path=xl/calcChain.xml><?xml version="1.0" encoding="utf-8"?>
<calcChain xmlns="http://schemas.openxmlformats.org/spreadsheetml/2006/main">
  <c r="R94" i="1" l="1"/>
  <c r="Q94" i="1"/>
  <c r="P94" i="1"/>
  <c r="O94" i="1"/>
  <c r="N94" i="1"/>
  <c r="M94" i="1"/>
  <c r="K94" i="1"/>
  <c r="J94" i="1"/>
  <c r="I94" i="1"/>
  <c r="H94" i="1"/>
  <c r="G94" i="1"/>
  <c r="F94" i="1"/>
  <c r="E94" i="1"/>
  <c r="D94" i="1"/>
  <c r="C94" i="1"/>
</calcChain>
</file>

<file path=xl/sharedStrings.xml><?xml version="1.0" encoding="utf-8"?>
<sst xmlns="http://schemas.openxmlformats.org/spreadsheetml/2006/main" count="706" uniqueCount="315">
  <si>
    <t>時間戳記</t>
  </si>
  <si>
    <t>選擇購買</t>
  </si>
  <si>
    <t>組合一 (1) : (無麩質)巧克力布朗尼(6塊/盒)+有機護膚霜(40 ml)(玫瑰)</t>
  </si>
  <si>
    <t>組合一 (2) : (無麩質)巧克力布朗尼(6塊/盒)+有機護膚霜(40ml)(金盞花)</t>
  </si>
  <si>
    <t>組合二 (1) : 有機護膚霜(40ml)(玫瑰)+手工皂*2</t>
  </si>
  <si>
    <t>組合二 (2) : 有機護膚霜(40ml)( 金盞花 )+手工皂*2</t>
  </si>
  <si>
    <t>組合三：手工皂四塊</t>
  </si>
  <si>
    <t>組合四：布朗尼+桑椹果凍*2+桑椹果醬*2</t>
  </si>
  <si>
    <t>【加購】桑椹果凍 (110ml):60元</t>
  </si>
  <si>
    <t>【加購】桑椹果醬 (110ml):100元</t>
  </si>
  <si>
    <t>【加購】草莓果醬 (110ml) (限量12瓶) :150元</t>
  </si>
  <si>
    <t xml:space="preserve">需不需要卡片                                                     </t>
  </si>
  <si>
    <t>*  請在下方直接填寫您要的數量</t>
  </si>
  <si>
    <t>【單購】有機玫瑰/金盞花護膚霜 : 350元/ 罐</t>
  </si>
  <si>
    <t>【單購】 手工皂 : 150元/ 個</t>
  </si>
  <si>
    <t>【單購】洗頭皂(限定20塊): 200元/ 個</t>
  </si>
  <si>
    <t>【單購】(無麩質) 巧克力布朗尼 (6塊/ 盒) : 200元</t>
  </si>
  <si>
    <t>您的姓名</t>
  </si>
  <si>
    <t>電子郵件地址（請一定要填，否則會收不到確認郵件。請填寫正確且是有在使用的帳號哦）</t>
  </si>
  <si>
    <t>連絡電話</t>
  </si>
  <si>
    <t xml:space="preserve">您曾經以何種方式支持 Jam for Love? </t>
  </si>
  <si>
    <t>付款方式</t>
  </si>
  <si>
    <t>如果使用匯款交易，請填寫欲使用之金融機構帳號後5碼 (僅提供我們作為核對用途)</t>
  </si>
  <si>
    <t>取貨方式</t>
  </si>
  <si>
    <t>收件人</t>
  </si>
  <si>
    <t>收件地址（含郵遞區號）</t>
  </si>
  <si>
    <t>需要哪種味道？</t>
  </si>
  <si>
    <t>組合商品(仍可加購單品)</t>
  </si>
  <si>
    <t>孫瑞群</t>
  </si>
  <si>
    <t>sunjuichun0203@gmail.com</t>
  </si>
  <si>
    <t>0935800530</t>
  </si>
  <si>
    <t>現為Jam for Love 的成員 (可享65折優惠！)</t>
  </si>
  <si>
    <t>匯款交易</t>
  </si>
  <si>
    <t>臨櫃匯款。</t>
  </si>
  <si>
    <t>郵寄到家（未滿 $1000 運費 65；郵寄同一地址訂購 $1000 以上免運費）</t>
  </si>
  <si>
    <t>231新北市新店區大同街十三號二樓</t>
  </si>
  <si>
    <t>不需要</t>
  </si>
  <si>
    <t>盧奕苓</t>
  </si>
  <si>
    <t>musicling_1008@hotmail.com</t>
  </si>
  <si>
    <t>0906547540</t>
  </si>
  <si>
    <t>曾經為 Jam for Love 的成員 (可享 85 折優惠！)</t>
  </si>
  <si>
    <t>406 台中市北屯區松竹路二段245號12樓</t>
  </si>
  <si>
    <t>鄭以萱</t>
  </si>
  <si>
    <t>ihcheng@mail.ncnu.edu.tw</t>
  </si>
  <si>
    <t>0988285830</t>
  </si>
  <si>
    <t>曾經購買 Jam for Love 的產品 (可享 9 折優惠！)</t>
  </si>
  <si>
    <t>現金交易</t>
  </si>
  <si>
    <t>05/08 (三) 12:00 - 13:00 暨大人文學院國比系辦</t>
  </si>
  <si>
    <t>需要</t>
  </si>
  <si>
    <t>林青郁</t>
  </si>
  <si>
    <t>cincinlin76@gmail.com</t>
  </si>
  <si>
    <t>0975505076</t>
  </si>
  <si>
    <t>104台北市中山區德惠街16-8號7樓</t>
  </si>
  <si>
    <t>崔慈悌</t>
  </si>
  <si>
    <t>sweet326@ms51.hinet.net</t>
  </si>
  <si>
    <t>0911002309</t>
  </si>
  <si>
    <t>830高雄市鳳山區和德街37號7樓</t>
  </si>
  <si>
    <t>邱惠君</t>
  </si>
  <si>
    <t>huichun.z@gmail.com</t>
  </si>
  <si>
    <t>0920224619</t>
  </si>
  <si>
    <t>510 彰化縣員林市員林大道四段150巷23號（大富社區）</t>
  </si>
  <si>
    <t>李金蓮</t>
  </si>
  <si>
    <t>lotus587444@gmail.com</t>
  </si>
  <si>
    <t>0952934212</t>
  </si>
  <si>
    <t>236新北市土城區青雲路587巷44號4樓</t>
  </si>
  <si>
    <t>單品(將直接前往單品選項)</t>
  </si>
  <si>
    <t>羅可妮</t>
  </si>
  <si>
    <t>kslove0325@gmail.com</t>
  </si>
  <si>
    <t>0975978275</t>
  </si>
  <si>
    <t>我是第一次購買 Jam for Love 的產品</t>
  </si>
  <si>
    <t>吳淑瑞</t>
  </si>
  <si>
    <t>cch021@hsjh.chc.edu.tw</t>
  </si>
  <si>
    <t>0920924003</t>
  </si>
  <si>
    <t>03641</t>
  </si>
  <si>
    <t>508 彰化縣和美鎮糖友里糖友二街63巷51號</t>
  </si>
  <si>
    <t>邱于嫺</t>
  </si>
  <si>
    <t>rich0126@gmail.com</t>
  </si>
  <si>
    <t>0932341057</t>
  </si>
  <si>
    <t>台大與曉雯老師面交</t>
  </si>
  <si>
    <t>邱振豪</t>
  </si>
  <si>
    <t>chenhao.ntu@gmail.com</t>
  </si>
  <si>
    <t>0937140306</t>
  </si>
  <si>
    <t>陳玠妤</t>
  </si>
  <si>
    <t>ncmushroom20@gmail.com</t>
  </si>
  <si>
    <t>0963985771</t>
  </si>
  <si>
    <t>沈庭婕</t>
  </si>
  <si>
    <t>melodyshen1020@gmail.com</t>
  </si>
  <si>
    <t>0915221729</t>
  </si>
  <si>
    <t>楊乙玲</t>
  </si>
  <si>
    <t>yyltaiwan@gmail.com</t>
  </si>
  <si>
    <t>0963268993</t>
  </si>
  <si>
    <t>813高雄市左營區海功路55號</t>
  </si>
  <si>
    <t>朱冠諭</t>
  </si>
  <si>
    <t>guanyu20031018@gmail.com</t>
  </si>
  <si>
    <t>0922108186</t>
  </si>
  <si>
    <t>周君芳</t>
  </si>
  <si>
    <t>cfchou@mail.ncnu.edu.tw</t>
  </si>
  <si>
    <t>0955224863</t>
  </si>
  <si>
    <t>05/09 (四) 12:00 - 13:00 暨大人文學院國比系辦</t>
  </si>
  <si>
    <t>黃慧芬</t>
  </si>
  <si>
    <t>hopeselfh@mail3.hwsh.tc.edu.tw</t>
  </si>
  <si>
    <t>0912968901</t>
  </si>
  <si>
    <t>408 台中币南屯區公益路二段298號, 惠文高中輔導室</t>
  </si>
  <si>
    <t>田欣</t>
  </si>
  <si>
    <t>honeytien921122@gmail.com</t>
  </si>
  <si>
    <t>0987250307</t>
  </si>
  <si>
    <t>黃荷雅</t>
  </si>
  <si>
    <t>duckh1406@gmail.com</t>
  </si>
  <si>
    <t>+4915207677392</t>
  </si>
  <si>
    <t>楊桂華</t>
  </si>
  <si>
    <t>204	基隆市安樂區麥金路446號</t>
  </si>
  <si>
    <t>張媚雅</t>
  </si>
  <si>
    <t>meiyaahooo@gmail.com</t>
  </si>
  <si>
    <t>0987001520</t>
  </si>
  <si>
    <t>羅淑君</t>
  </si>
  <si>
    <t>sclo@ncnu.edu.tw</t>
  </si>
  <si>
    <t>0912325498</t>
  </si>
  <si>
    <t>林羿君</t>
  </si>
  <si>
    <t>btscourtney@gmail.com</t>
  </si>
  <si>
    <t>0981191205</t>
  </si>
  <si>
    <t>高滇玲</t>
  </si>
  <si>
    <t>kaoashley@gmail.com</t>
  </si>
  <si>
    <t>0932796397</t>
  </si>
  <si>
    <t>程秀華</t>
  </si>
  <si>
    <t>ch0920637466@gmail.com</t>
  </si>
  <si>
    <t>0920637466</t>
  </si>
  <si>
    <t>07842</t>
  </si>
  <si>
    <t>臺北市內湖區康寧路三段189巷73弄1號2樓</t>
  </si>
  <si>
    <t>Jam for Love</t>
  </si>
  <si>
    <t>monofisch@gmail.com</t>
  </si>
  <si>
    <t>0922816212</t>
  </si>
  <si>
    <t>玫瑰2罐、金盞花1罐</t>
  </si>
  <si>
    <t>陳倚萱</t>
  </si>
  <si>
    <t>b0900335462@gmail.com</t>
  </si>
  <si>
    <t>0906685963</t>
  </si>
  <si>
    <t>林琬儀</t>
  </si>
  <si>
    <t>pink2003929906@gmail.com</t>
  </si>
  <si>
    <t>0970285655</t>
  </si>
  <si>
    <t>邱怡鳳</t>
  </si>
  <si>
    <t>930902kitty@gmail.com</t>
  </si>
  <si>
    <t>0968092200</t>
  </si>
  <si>
    <t>連以愛</t>
  </si>
  <si>
    <t>r224921389@gmail.com</t>
  </si>
  <si>
    <t>0976178660</t>
  </si>
  <si>
    <t>黃蘭惠</t>
  </si>
  <si>
    <t>李玉姿</t>
  </si>
  <si>
    <t>rosannalyt@gmail.com</t>
  </si>
  <si>
    <t>吳玉慈</t>
  </si>
  <si>
    <t>0908882416</t>
  </si>
  <si>
    <t>謝舒凱</t>
  </si>
  <si>
    <t>shukai@gmail.com</t>
  </si>
  <si>
    <t>0922727359</t>
  </si>
  <si>
    <t>邱毓琇</t>
  </si>
  <si>
    <t>qyx07u@gmail.com</t>
  </si>
  <si>
    <t>0901115920</t>
  </si>
  <si>
    <t>方思評</t>
  </si>
  <si>
    <t>sihping.fang@gmail.com</t>
  </si>
  <si>
    <t>0912408175</t>
  </si>
  <si>
    <t>黃意淳</t>
  </si>
  <si>
    <t>yitsun66@gmail.com</t>
  </si>
  <si>
    <t>0987127568</t>
  </si>
  <si>
    <t>403 台中市西區大忠南街3號7F之5</t>
  </si>
  <si>
    <t>陳玄岦</t>
  </si>
  <si>
    <t>s112402029@mail.ncnu.edu.tw</t>
  </si>
  <si>
    <t>0920959994</t>
  </si>
  <si>
    <t>張玉茹</t>
  </si>
  <si>
    <t>yjchang@ncnu.edu.tw</t>
  </si>
  <si>
    <t>0932620260</t>
  </si>
  <si>
    <t>金盞花1個</t>
  </si>
  <si>
    <t>陳小芬</t>
  </si>
  <si>
    <t>jessica@ncnu.edu.tw</t>
  </si>
  <si>
    <t>0920720520</t>
  </si>
  <si>
    <t>宜蘭與曉雯老師面交</t>
  </si>
  <si>
    <t>1玫瑰</t>
  </si>
  <si>
    <t>李永婷</t>
  </si>
  <si>
    <t>nina980327@gmail.com</t>
  </si>
  <si>
    <t>0921189303</t>
  </si>
  <si>
    <t>112台北市北投區文化三路80號7樓</t>
  </si>
  <si>
    <t>黃久真</t>
  </si>
  <si>
    <t>alexjoann@gmail.com</t>
  </si>
  <si>
    <t>0921997119</t>
  </si>
  <si>
    <t xml:space="preserve">王祈文 </t>
  </si>
  <si>
    <t>chiwen0921@gmail.com</t>
  </si>
  <si>
    <t>0970087906</t>
  </si>
  <si>
    <t>田長怡</t>
  </si>
  <si>
    <t>a6838916@gmail.com</t>
  </si>
  <si>
    <t>0920250307</t>
  </si>
  <si>
    <t>郭淑環</t>
  </si>
  <si>
    <t>ilong@apps.ghes.ntpc.edu.tw</t>
  </si>
  <si>
    <t>0922679867</t>
  </si>
  <si>
    <t>新北市新莊區新北大道七段738號11樓</t>
  </si>
  <si>
    <t>羅絜旻</t>
  </si>
  <si>
    <t>a0906081076@gmail.com</t>
  </si>
  <si>
    <t>0906081076</t>
  </si>
  <si>
    <t>玫瑰1</t>
  </si>
  <si>
    <t>林佑珍</t>
  </si>
  <si>
    <t>linyuchen421@gmail.com</t>
  </si>
  <si>
    <t>0977192421</t>
  </si>
  <si>
    <t>邱士豪</t>
  </si>
  <si>
    <t>music30532@gmail.com</t>
  </si>
  <si>
    <t>0983319317</t>
  </si>
  <si>
    <t>蘇聖涵</t>
  </si>
  <si>
    <t>shenghansu711@gmail.com</t>
  </si>
  <si>
    <t>0963258632</t>
  </si>
  <si>
    <t>306新竹縣關西鎮中山東路2號（總務處）</t>
  </si>
  <si>
    <t>任家鋆</t>
  </si>
  <si>
    <t>tr.justinjen@gmail.com</t>
  </si>
  <si>
    <t>0966591038</t>
  </si>
  <si>
    <t>06819</t>
  </si>
  <si>
    <t>顧玉玲</t>
  </si>
  <si>
    <t>yulingku@gmail.com</t>
  </si>
  <si>
    <t>0933169516</t>
  </si>
  <si>
    <t>33454桃園市八德區長興路103號15樓</t>
  </si>
  <si>
    <t>陳香蓉</t>
  </si>
  <si>
    <t>srchen@mail.ncnu.edu.tw</t>
  </si>
  <si>
    <t>0963937179</t>
  </si>
  <si>
    <t>吳旻倩</t>
  </si>
  <si>
    <t>minqian919@gmail.com</t>
  </si>
  <si>
    <t>0979757919</t>
  </si>
  <si>
    <t>中華郵政33482</t>
  </si>
  <si>
    <t>劉子瑄</t>
  </si>
  <si>
    <t>belle930329@gmail.con</t>
  </si>
  <si>
    <t>0936692206</t>
  </si>
  <si>
    <t>洪小萍</t>
  </si>
  <si>
    <t>hphung.taiwan@gmail.com</t>
  </si>
  <si>
    <t>0926195866</t>
  </si>
  <si>
    <t>張瑞娟</t>
  </si>
  <si>
    <t>jcchang0330@gmail.com</t>
  </si>
  <si>
    <t>0911105897</t>
  </si>
  <si>
    <t>412214台中市大里區大明路141巷5號5樓</t>
  </si>
  <si>
    <t>鄭湘樺</t>
  </si>
  <si>
    <t>oa6857@gmail.com</t>
  </si>
  <si>
    <t>0908510628</t>
  </si>
  <si>
    <t>葉愛憫</t>
  </si>
  <si>
    <t>julovesabinna@gmail.com</t>
  </si>
  <si>
    <t>0921168386</t>
  </si>
  <si>
    <t>夏璽明</t>
  </si>
  <si>
    <t>s105402904@mail1.ncnu.edu.tw</t>
  </si>
  <si>
    <t>0972805365</t>
  </si>
  <si>
    <t>421台中市后里區甲后路一段36巷39弄5號</t>
  </si>
  <si>
    <t>陳立楀</t>
  </si>
  <si>
    <t>lychen05@gmail.com</t>
  </si>
  <si>
    <t>0919037616</t>
  </si>
  <si>
    <t>謝心默</t>
  </si>
  <si>
    <t>nomofika@gmail.com</t>
  </si>
  <si>
    <t>0907349025</t>
  </si>
  <si>
    <t>林雅凰</t>
  </si>
  <si>
    <t>yahuanglin000@gmail.com</t>
  </si>
  <si>
    <t>0965185316</t>
  </si>
  <si>
    <t>黃千</t>
  </si>
  <si>
    <t>mimimia2012@gmail.com</t>
  </si>
  <si>
    <t>0922785673</t>
  </si>
  <si>
    <t>陳潔瑾</t>
  </si>
  <si>
    <t>jessie59@gmail.com</t>
  </si>
  <si>
    <t>謝佩珊</t>
  </si>
  <si>
    <t>s111402028@mail1.ncnu.edu.tw</t>
  </si>
  <si>
    <t>0968321417</t>
  </si>
  <si>
    <t>陳仙婷</t>
  </si>
  <si>
    <t>98520057ot@gmail.com</t>
  </si>
  <si>
    <t>0975018289</t>
  </si>
  <si>
    <t>435台中市梧棲區信義街12號</t>
  </si>
  <si>
    <t>黃昱溱</t>
  </si>
  <si>
    <t>megmeg20102@gmail.com</t>
  </si>
  <si>
    <t>0968825906</t>
  </si>
  <si>
    <t>林承龍</t>
  </si>
  <si>
    <t>naturee@ms39.hinet.net</t>
  </si>
  <si>
    <t>0918209443</t>
  </si>
  <si>
    <t>244新北市林口區文化二路二段110巷9-1號4樓</t>
  </si>
  <si>
    <t>游淑芬</t>
  </si>
  <si>
    <t>新北市新店區文中路51-1號4樓</t>
  </si>
  <si>
    <t>黃蔚玲</t>
  </si>
  <si>
    <t>s110402019@mail1.ncnu.edu.tw</t>
  </si>
  <si>
    <t>0972380535</t>
  </si>
  <si>
    <t>魏偉安</t>
  </si>
  <si>
    <t>tc496998314@gmail.com</t>
  </si>
  <si>
    <t>0909029808</t>
  </si>
  <si>
    <t>蔡德鍵</t>
  </si>
  <si>
    <t>pipakuih@gmail.com</t>
  </si>
  <si>
    <t>0908900582</t>
  </si>
  <si>
    <t>賴瑩珈</t>
  </si>
  <si>
    <t>lyjia@mail.ncnu.edu.tw</t>
  </si>
  <si>
    <t>0975180297</t>
  </si>
  <si>
    <t>林芹珮</t>
  </si>
  <si>
    <t>beryllin1021@gmail.com</t>
  </si>
  <si>
    <t>0900191296</t>
  </si>
  <si>
    <t>呂佳蓉</t>
  </si>
  <si>
    <t>chiarung@gmail.com</t>
  </si>
  <si>
    <t>0987049855</t>
  </si>
  <si>
    <t>03931</t>
  </si>
  <si>
    <t>普羅</t>
  </si>
  <si>
    <t>ninayjt@gmail.com</t>
  </si>
  <si>
    <t>0953041522</t>
  </si>
  <si>
    <t>4玫瑰2金盞花</t>
  </si>
  <si>
    <t>余曉鳳</t>
  </si>
  <si>
    <t>陳怡廷</t>
  </si>
  <si>
    <t>et00064@gmail.com</t>
  </si>
  <si>
    <t>0928987532</t>
  </si>
  <si>
    <t>540南投縣南投市營中路237巷38號</t>
  </si>
  <si>
    <t>金盞花</t>
  </si>
  <si>
    <t>1玫瑰1金盞花</t>
  </si>
  <si>
    <t>余曉雯</t>
  </si>
  <si>
    <t>巧克力布朗尼</t>
  </si>
  <si>
    <t>有機護膚霜(玫瑰)</t>
  </si>
  <si>
    <t>有機護膚霜(金盞花)</t>
  </si>
  <si>
    <t>手工皂</t>
  </si>
  <si>
    <t>桑椹果凍</t>
  </si>
  <si>
    <t>桑椹果醬</t>
  </si>
  <si>
    <t>草莓果醬</t>
  </si>
  <si>
    <t>母親節卡片</t>
  </si>
  <si>
    <t>感謝卡片</t>
  </si>
  <si>
    <t>洗頭皂</t>
  </si>
  <si>
    <t>poc7711@gmail.com</t>
    <phoneticPr fontId="2" type="noConversion"/>
  </si>
  <si>
    <t>peggy9862@gmail.com</t>
    <phoneticPr fontId="2" type="noConversion"/>
  </si>
  <si>
    <t>alma5114@hotmail.com</t>
    <phoneticPr fontId="2" type="noConversion"/>
  </si>
  <si>
    <t>0920638759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</si>
</sst>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176" fontId="1" fillId="0" borderId="0" xfId="0" applyNumberFormat="1" applyFont="1" applyAlignment="1"/>
    <xf numFmtId="0" fontId="1" fillId="0" borderId="0" xfId="0" applyFont="1" applyAlignment="1"/>
    <xf numFmtId="0" fontId="1" fillId="0" borderId="0" xfId="0" quotePrefix="1" applyFont="1" applyAlignment="1"/>
    <xf numFmtId="0" fontId="1" fillId="0" borderId="0" xfId="0" applyFont="1" applyAlignment="1"/>
    <xf numFmtId="0" fontId="1" fillId="0" borderId="0" xfId="0" applyFont="1"/>
    <xf numFmtId="0" fontId="4" fillId="0" borderId="0" xfId="1" applyAlignment="1"/>
    <xf numFmtId="0" fontId="3" fillId="0" borderId="0" xfId="0" quotePrefix="1" applyFont="1" applyAlignme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ma5114@hotmail.com" TargetMode="External"/><Relationship Id="rId2" Type="http://schemas.openxmlformats.org/officeDocument/2006/relationships/hyperlink" Target="mailto:peggy9862@gmail.com" TargetMode="External"/><Relationship Id="rId1" Type="http://schemas.openxmlformats.org/officeDocument/2006/relationships/hyperlink" Target="mailto:poc7711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04"/>
  <sheetViews>
    <sheetView tabSelected="1" topLeftCell="U1" workbookViewId="0">
      <pane ySplit="1" topLeftCell="A77" activePane="bottomLeft" state="frozen"/>
      <selection pane="bottomLeft" activeCell="X82" sqref="X82"/>
    </sheetView>
  </sheetViews>
  <sheetFormatPr defaultColWidth="12.6328125" defaultRowHeight="15.75" customHeight="1" x14ac:dyDescent="0.25"/>
  <cols>
    <col min="1" max="1" width="18.90625" customWidth="1"/>
    <col min="2" max="2" width="20.453125" customWidth="1"/>
    <col min="3" max="3" width="50.7265625" customWidth="1"/>
    <col min="4" max="4" width="52" customWidth="1"/>
    <col min="5" max="5" width="34.90625" customWidth="1"/>
    <col min="6" max="6" width="37.453125" customWidth="1"/>
    <col min="7" max="7" width="16" customWidth="1"/>
    <col min="8" max="8" width="31.08984375" customWidth="1"/>
    <col min="9" max="9" width="24.26953125" customWidth="1"/>
    <col min="10" max="10" width="25.26953125" customWidth="1"/>
    <col min="11" max="11" width="34.08984375" customWidth="1"/>
    <col min="12" max="12" width="35.453125" customWidth="1"/>
    <col min="13" max="14" width="24.26953125" customWidth="1"/>
    <col min="15" max="15" width="33.26953125" customWidth="1"/>
    <col min="16" max="16" width="33.08984375" customWidth="1"/>
    <col min="17" max="17" width="28.6328125" customWidth="1"/>
    <col min="18" max="18" width="36.90625" customWidth="1"/>
    <col min="19" max="19" width="10.6328125" customWidth="1"/>
    <col min="20" max="20" width="67.6328125" customWidth="1"/>
    <col min="21" max="21" width="14" customWidth="1"/>
    <col min="22" max="22" width="36.6328125" customWidth="1"/>
    <col min="23" max="23" width="7.6328125" customWidth="1"/>
    <col min="24" max="24" width="61.90625" customWidth="1"/>
    <col min="25" max="25" width="54.36328125" customWidth="1"/>
    <col min="26" max="26" width="6" customWidth="1"/>
    <col min="27" max="27" width="42.26953125" customWidth="1"/>
    <col min="28" max="28" width="12.6328125" customWidth="1"/>
    <col min="29" max="34" width="18.9062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2" t="s">
        <v>26</v>
      </c>
    </row>
    <row r="2" spans="1:28" ht="15.75" customHeight="1" x14ac:dyDescent="0.25">
      <c r="A2" s="3"/>
    </row>
    <row r="3" spans="1:28" ht="15.75" customHeight="1" x14ac:dyDescent="0.25">
      <c r="A3" s="3"/>
    </row>
    <row r="4" spans="1:28" ht="15.75" customHeight="1" x14ac:dyDescent="0.25">
      <c r="A4" s="3"/>
    </row>
    <row r="5" spans="1:28" ht="15.75" customHeight="1" x14ac:dyDescent="0.25">
      <c r="A5" s="3"/>
    </row>
    <row r="6" spans="1:28" ht="15.75" customHeight="1" x14ac:dyDescent="0.25">
      <c r="A6" s="3"/>
    </row>
    <row r="7" spans="1:28" ht="15.75" customHeight="1" x14ac:dyDescent="0.25">
      <c r="A7" s="3"/>
    </row>
    <row r="8" spans="1:28" ht="15.75" customHeight="1" x14ac:dyDescent="0.25">
      <c r="A8" s="3"/>
    </row>
    <row r="9" spans="1:28" ht="15.75" customHeight="1" x14ac:dyDescent="0.25">
      <c r="A9" s="3"/>
    </row>
    <row r="10" spans="1:28" ht="15.75" customHeight="1" x14ac:dyDescent="0.25">
      <c r="A10" s="3"/>
    </row>
    <row r="11" spans="1:28" ht="15.75" customHeight="1" x14ac:dyDescent="0.25">
      <c r="A11" s="3"/>
    </row>
    <row r="12" spans="1:28" ht="15.75" customHeight="1" x14ac:dyDescent="0.25">
      <c r="A12" s="3"/>
    </row>
    <row r="13" spans="1:28" ht="15.75" customHeight="1" x14ac:dyDescent="0.25">
      <c r="A13" s="3"/>
    </row>
    <row r="14" spans="1:28" ht="15.75" customHeight="1" x14ac:dyDescent="0.25">
      <c r="A14" s="3">
        <v>45402.494020972226</v>
      </c>
      <c r="B14" s="4" t="s">
        <v>27</v>
      </c>
      <c r="E14" s="4">
        <v>1</v>
      </c>
      <c r="F14" s="4">
        <v>1</v>
      </c>
      <c r="M14" s="4">
        <v>3</v>
      </c>
      <c r="Q14" s="4">
        <v>3</v>
      </c>
      <c r="S14" s="4" t="s">
        <v>28</v>
      </c>
      <c r="T14" s="4" t="s">
        <v>29</v>
      </c>
      <c r="U14" s="5" t="s">
        <v>30</v>
      </c>
      <c r="V14" s="4" t="s">
        <v>31</v>
      </c>
      <c r="W14" s="4" t="s">
        <v>32</v>
      </c>
      <c r="X14" s="4" t="s">
        <v>33</v>
      </c>
      <c r="Y14" s="4" t="s">
        <v>34</v>
      </c>
      <c r="Z14" s="4" t="s">
        <v>28</v>
      </c>
      <c r="AA14" s="4" t="s">
        <v>35</v>
      </c>
      <c r="AB14" s="6"/>
    </row>
    <row r="15" spans="1:28" ht="15.75" customHeight="1" x14ac:dyDescent="0.25">
      <c r="A15" s="3">
        <v>45402.530114594905</v>
      </c>
      <c r="B15" s="4" t="s">
        <v>27</v>
      </c>
      <c r="D15" s="4">
        <v>1</v>
      </c>
      <c r="K15" s="4">
        <v>1</v>
      </c>
      <c r="L15" s="4" t="s">
        <v>36</v>
      </c>
      <c r="S15" s="4" t="s">
        <v>37</v>
      </c>
      <c r="T15" s="4" t="s">
        <v>38</v>
      </c>
      <c r="U15" s="5" t="s">
        <v>39</v>
      </c>
      <c r="V15" s="4" t="s">
        <v>40</v>
      </c>
      <c r="W15" s="4" t="s">
        <v>32</v>
      </c>
      <c r="X15" s="4">
        <v>66630</v>
      </c>
      <c r="Y15" s="4" t="s">
        <v>34</v>
      </c>
      <c r="Z15" s="4" t="s">
        <v>37</v>
      </c>
      <c r="AA15" s="4" t="s">
        <v>41</v>
      </c>
      <c r="AB15" s="6"/>
    </row>
    <row r="16" spans="1:28" ht="15.75" customHeight="1" x14ac:dyDescent="0.25">
      <c r="A16" s="3">
        <v>45402.535974560189</v>
      </c>
      <c r="B16" s="4" t="s">
        <v>27</v>
      </c>
      <c r="D16" s="4">
        <v>1</v>
      </c>
      <c r="I16" s="4">
        <v>1</v>
      </c>
      <c r="L16" s="4" t="s">
        <v>36</v>
      </c>
      <c r="M16" s="4">
        <v>0</v>
      </c>
      <c r="N16" s="4">
        <v>0</v>
      </c>
      <c r="Q16" s="4">
        <v>1</v>
      </c>
      <c r="S16" s="4" t="s">
        <v>42</v>
      </c>
      <c r="T16" s="4" t="s">
        <v>43</v>
      </c>
      <c r="U16" s="5" t="s">
        <v>44</v>
      </c>
      <c r="V16" s="4" t="s">
        <v>45</v>
      </c>
      <c r="W16" s="4" t="s">
        <v>46</v>
      </c>
      <c r="Y16" s="4" t="s">
        <v>47</v>
      </c>
    </row>
    <row r="17" spans="1:28" ht="15.75" customHeight="1" x14ac:dyDescent="0.25">
      <c r="A17" s="3">
        <v>45402.555052685188</v>
      </c>
      <c r="B17" s="4" t="s">
        <v>27</v>
      </c>
      <c r="D17" s="4">
        <v>1</v>
      </c>
      <c r="K17" s="4">
        <v>1</v>
      </c>
      <c r="L17" s="4" t="s">
        <v>48</v>
      </c>
      <c r="M17" s="4">
        <v>1</v>
      </c>
      <c r="S17" s="4" t="s">
        <v>49</v>
      </c>
      <c r="T17" s="4" t="s">
        <v>50</v>
      </c>
      <c r="U17" s="5" t="s">
        <v>51</v>
      </c>
      <c r="V17" s="4" t="s">
        <v>45</v>
      </c>
      <c r="W17" s="4" t="s">
        <v>32</v>
      </c>
      <c r="X17" s="4">
        <v>66667</v>
      </c>
      <c r="Y17" s="4" t="s">
        <v>34</v>
      </c>
      <c r="Z17" s="4" t="s">
        <v>49</v>
      </c>
      <c r="AA17" s="4" t="s">
        <v>52</v>
      </c>
      <c r="AB17" s="6"/>
    </row>
    <row r="18" spans="1:28" ht="15.75" customHeight="1" x14ac:dyDescent="0.25">
      <c r="A18" s="3">
        <v>45402.620569004634</v>
      </c>
      <c r="B18" s="4" t="s">
        <v>27</v>
      </c>
      <c r="E18" s="4">
        <v>2</v>
      </c>
      <c r="F18" s="4">
        <v>1</v>
      </c>
      <c r="L18" s="4" t="s">
        <v>48</v>
      </c>
      <c r="N18" s="4">
        <v>1</v>
      </c>
      <c r="S18" s="4" t="s">
        <v>53</v>
      </c>
      <c r="T18" s="4" t="s">
        <v>54</v>
      </c>
      <c r="U18" s="5" t="s">
        <v>55</v>
      </c>
      <c r="V18" s="4" t="s">
        <v>45</v>
      </c>
      <c r="W18" s="4" t="s">
        <v>32</v>
      </c>
      <c r="X18" s="4">
        <v>38640</v>
      </c>
      <c r="Y18" s="4" t="s">
        <v>34</v>
      </c>
      <c r="Z18" s="4" t="s">
        <v>53</v>
      </c>
      <c r="AA18" s="4" t="s">
        <v>56</v>
      </c>
      <c r="AB18" s="6"/>
    </row>
    <row r="19" spans="1:28" ht="15.75" customHeight="1" x14ac:dyDescent="0.25">
      <c r="A19" s="3">
        <v>45402.621935567135</v>
      </c>
      <c r="B19" s="4" t="s">
        <v>27</v>
      </c>
      <c r="C19" s="4">
        <v>1</v>
      </c>
      <c r="D19" s="4">
        <v>1</v>
      </c>
      <c r="L19" s="4" t="s">
        <v>48</v>
      </c>
      <c r="M19" s="4">
        <v>1</v>
      </c>
      <c r="N19" s="4">
        <v>1</v>
      </c>
      <c r="Q19" s="4">
        <v>1</v>
      </c>
      <c r="S19" s="4" t="s">
        <v>57</v>
      </c>
      <c r="T19" s="4" t="s">
        <v>58</v>
      </c>
      <c r="U19" s="5" t="s">
        <v>59</v>
      </c>
      <c r="V19" s="4" t="s">
        <v>45</v>
      </c>
      <c r="W19" s="4" t="s">
        <v>32</v>
      </c>
      <c r="X19" s="4">
        <v>24619</v>
      </c>
      <c r="Y19" s="4" t="s">
        <v>34</v>
      </c>
      <c r="Z19" s="4" t="s">
        <v>57</v>
      </c>
      <c r="AA19" s="4" t="s">
        <v>60</v>
      </c>
      <c r="AB19" s="6"/>
    </row>
    <row r="20" spans="1:28" ht="15.75" customHeight="1" x14ac:dyDescent="0.25">
      <c r="A20" s="3">
        <v>45402.717788877315</v>
      </c>
      <c r="B20" s="4" t="s">
        <v>27</v>
      </c>
      <c r="D20" s="4">
        <v>1</v>
      </c>
      <c r="G20" s="4">
        <v>1</v>
      </c>
      <c r="K20" s="4">
        <v>1</v>
      </c>
      <c r="L20" s="4" t="s">
        <v>36</v>
      </c>
      <c r="S20" s="4" t="s">
        <v>61</v>
      </c>
      <c r="T20" s="4" t="s">
        <v>62</v>
      </c>
      <c r="U20" s="5" t="s">
        <v>63</v>
      </c>
      <c r="V20" s="4" t="s">
        <v>45</v>
      </c>
      <c r="W20" s="4" t="s">
        <v>32</v>
      </c>
      <c r="X20" s="4">
        <v>86771</v>
      </c>
      <c r="Y20" s="4" t="s">
        <v>34</v>
      </c>
      <c r="Z20" s="4" t="s">
        <v>61</v>
      </c>
      <c r="AA20" s="4" t="s">
        <v>64</v>
      </c>
      <c r="AB20" s="6"/>
    </row>
    <row r="21" spans="1:28" ht="15.75" customHeight="1" x14ac:dyDescent="0.25">
      <c r="A21" s="3">
        <v>45402.752773842592</v>
      </c>
      <c r="B21" s="4" t="s">
        <v>65</v>
      </c>
      <c r="R21" s="4">
        <v>1</v>
      </c>
      <c r="S21" s="4" t="s">
        <v>66</v>
      </c>
      <c r="T21" s="4" t="s">
        <v>67</v>
      </c>
      <c r="U21" s="5" t="s">
        <v>68</v>
      </c>
      <c r="V21" s="4" t="s">
        <v>69</v>
      </c>
      <c r="W21" s="4" t="s">
        <v>46</v>
      </c>
      <c r="Y21" s="4" t="s">
        <v>47</v>
      </c>
    </row>
    <row r="22" spans="1:28" ht="15.75" customHeight="1" x14ac:dyDescent="0.25">
      <c r="A22" s="3"/>
    </row>
    <row r="23" spans="1:28" ht="15.75" customHeight="1" x14ac:dyDescent="0.25">
      <c r="A23" s="3">
        <v>45402.798209375003</v>
      </c>
      <c r="B23" s="4" t="s">
        <v>27</v>
      </c>
      <c r="H23" s="4">
        <v>1</v>
      </c>
      <c r="J23" s="4">
        <v>5</v>
      </c>
      <c r="K23" s="4">
        <v>1</v>
      </c>
      <c r="L23" s="4" t="s">
        <v>48</v>
      </c>
      <c r="S23" s="4" t="s">
        <v>70</v>
      </c>
      <c r="T23" s="4" t="s">
        <v>71</v>
      </c>
      <c r="U23" s="5" t="s">
        <v>72</v>
      </c>
      <c r="V23" s="4" t="s">
        <v>45</v>
      </c>
      <c r="W23" s="4" t="s">
        <v>32</v>
      </c>
      <c r="X23" s="5" t="s">
        <v>73</v>
      </c>
      <c r="Y23" s="4" t="s">
        <v>34</v>
      </c>
      <c r="Z23" s="4" t="s">
        <v>70</v>
      </c>
      <c r="AA23" s="4" t="s">
        <v>74</v>
      </c>
      <c r="AB23" s="6"/>
    </row>
    <row r="24" spans="1:28" ht="12.5" x14ac:dyDescent="0.25">
      <c r="A24" s="3">
        <v>45402.870867511578</v>
      </c>
      <c r="B24" s="4" t="s">
        <v>27</v>
      </c>
      <c r="F24" s="4">
        <v>1</v>
      </c>
      <c r="L24" s="4" t="s">
        <v>36</v>
      </c>
      <c r="Q24" s="4">
        <v>2</v>
      </c>
      <c r="S24" s="4" t="s">
        <v>75</v>
      </c>
      <c r="T24" s="4" t="s">
        <v>76</v>
      </c>
      <c r="U24" s="5" t="s">
        <v>77</v>
      </c>
      <c r="V24" s="4" t="s">
        <v>45</v>
      </c>
      <c r="W24" s="4" t="s">
        <v>46</v>
      </c>
      <c r="Y24" s="4" t="s">
        <v>78</v>
      </c>
    </row>
    <row r="25" spans="1:28" ht="12.5" x14ac:dyDescent="0.25">
      <c r="A25" s="3">
        <v>45402.930240787042</v>
      </c>
      <c r="B25" s="4" t="s">
        <v>27</v>
      </c>
      <c r="C25" s="4">
        <v>1</v>
      </c>
      <c r="F25" s="4">
        <v>1</v>
      </c>
      <c r="L25" s="4" t="s">
        <v>36</v>
      </c>
      <c r="S25" s="4" t="s">
        <v>79</v>
      </c>
      <c r="T25" s="4" t="s">
        <v>80</v>
      </c>
      <c r="U25" s="5" t="s">
        <v>81</v>
      </c>
      <c r="V25" s="4" t="s">
        <v>45</v>
      </c>
      <c r="W25" s="4" t="s">
        <v>32</v>
      </c>
      <c r="X25" s="4">
        <v>32206</v>
      </c>
      <c r="Y25" s="4" t="s">
        <v>78</v>
      </c>
    </row>
    <row r="26" spans="1:28" ht="12.5" x14ac:dyDescent="0.25">
      <c r="A26" s="3">
        <v>45402.947048622686</v>
      </c>
      <c r="B26" s="4" t="s">
        <v>27</v>
      </c>
      <c r="H26" s="4">
        <v>1</v>
      </c>
      <c r="K26" s="4">
        <v>2</v>
      </c>
      <c r="L26" s="4" t="s">
        <v>36</v>
      </c>
      <c r="Q26" s="4">
        <v>1</v>
      </c>
      <c r="S26" s="4" t="s">
        <v>82</v>
      </c>
      <c r="T26" s="4" t="s">
        <v>83</v>
      </c>
      <c r="U26" s="5" t="s">
        <v>84</v>
      </c>
      <c r="V26" s="4" t="s">
        <v>45</v>
      </c>
      <c r="W26" s="4" t="s">
        <v>46</v>
      </c>
      <c r="Y26" s="4" t="s">
        <v>78</v>
      </c>
    </row>
    <row r="27" spans="1:28" ht="12.5" x14ac:dyDescent="0.25">
      <c r="A27" s="3">
        <v>45402.95807375</v>
      </c>
      <c r="B27" s="4" t="s">
        <v>27</v>
      </c>
      <c r="C27" s="4">
        <v>2</v>
      </c>
      <c r="L27" s="4" t="s">
        <v>48</v>
      </c>
      <c r="M27" s="4">
        <v>1</v>
      </c>
      <c r="S27" s="4" t="s">
        <v>85</v>
      </c>
      <c r="T27" s="4" t="s">
        <v>86</v>
      </c>
      <c r="U27" s="5" t="s">
        <v>87</v>
      </c>
      <c r="V27" s="4" t="s">
        <v>31</v>
      </c>
      <c r="W27" s="4" t="s">
        <v>46</v>
      </c>
      <c r="Y27" s="4" t="s">
        <v>47</v>
      </c>
    </row>
    <row r="28" spans="1:28" ht="12.5" x14ac:dyDescent="0.25">
      <c r="A28" s="3">
        <v>45402.960670312503</v>
      </c>
      <c r="B28" s="4" t="s">
        <v>27</v>
      </c>
      <c r="D28" s="4">
        <v>1</v>
      </c>
      <c r="I28" s="4">
        <v>1</v>
      </c>
      <c r="J28" s="4">
        <v>2</v>
      </c>
      <c r="L28" s="4" t="s">
        <v>36</v>
      </c>
      <c r="P28" s="4">
        <v>1</v>
      </c>
      <c r="R28" s="4">
        <v>1</v>
      </c>
      <c r="S28" s="4" t="s">
        <v>88</v>
      </c>
      <c r="T28" s="4" t="s">
        <v>89</v>
      </c>
      <c r="U28" s="5" t="s">
        <v>90</v>
      </c>
      <c r="V28" s="4" t="s">
        <v>45</v>
      </c>
      <c r="W28" s="4" t="s">
        <v>32</v>
      </c>
      <c r="X28" s="4">
        <v>66391</v>
      </c>
      <c r="Y28" s="4" t="s">
        <v>34</v>
      </c>
      <c r="Z28" s="4" t="s">
        <v>88</v>
      </c>
      <c r="AA28" s="4" t="s">
        <v>91</v>
      </c>
      <c r="AB28" s="6"/>
    </row>
    <row r="29" spans="1:28" ht="12.5" x14ac:dyDescent="0.25">
      <c r="A29" s="3">
        <v>45403.088864999998</v>
      </c>
      <c r="B29" s="4" t="s">
        <v>65</v>
      </c>
      <c r="R29" s="4">
        <v>1</v>
      </c>
      <c r="S29" s="4" t="s">
        <v>92</v>
      </c>
      <c r="T29" s="4" t="s">
        <v>93</v>
      </c>
      <c r="U29" s="5" t="s">
        <v>94</v>
      </c>
      <c r="V29" s="4" t="s">
        <v>45</v>
      </c>
      <c r="W29" s="4" t="s">
        <v>46</v>
      </c>
      <c r="Y29" s="4" t="s">
        <v>47</v>
      </c>
    </row>
    <row r="30" spans="1:28" ht="12.5" x14ac:dyDescent="0.25">
      <c r="A30" s="3">
        <v>45403.235943900465</v>
      </c>
      <c r="B30" s="4" t="s">
        <v>27</v>
      </c>
      <c r="F30" s="4">
        <v>1</v>
      </c>
      <c r="L30" s="4" t="s">
        <v>48</v>
      </c>
      <c r="M30" s="4">
        <v>1</v>
      </c>
      <c r="S30" s="4" t="s">
        <v>95</v>
      </c>
      <c r="T30" s="4" t="s">
        <v>96</v>
      </c>
      <c r="U30" s="5" t="s">
        <v>97</v>
      </c>
      <c r="V30" s="4" t="s">
        <v>45</v>
      </c>
      <c r="W30" s="4" t="s">
        <v>46</v>
      </c>
      <c r="Y30" s="4" t="s">
        <v>98</v>
      </c>
    </row>
    <row r="31" spans="1:28" ht="12.5" x14ac:dyDescent="0.25">
      <c r="A31" s="3">
        <v>45403.365916180555</v>
      </c>
      <c r="B31" s="4" t="s">
        <v>27</v>
      </c>
      <c r="C31" s="4">
        <v>1</v>
      </c>
      <c r="D31" s="4">
        <v>1</v>
      </c>
      <c r="J31" s="4">
        <v>4</v>
      </c>
      <c r="K31" s="4">
        <v>4</v>
      </c>
      <c r="L31" s="4" t="s">
        <v>36</v>
      </c>
      <c r="S31" s="4" t="s">
        <v>99</v>
      </c>
      <c r="T31" s="4" t="s">
        <v>100</v>
      </c>
      <c r="U31" s="5" t="s">
        <v>101</v>
      </c>
      <c r="V31" s="4" t="s">
        <v>45</v>
      </c>
      <c r="W31" s="4" t="s">
        <v>32</v>
      </c>
      <c r="X31" s="4">
        <v>52430</v>
      </c>
      <c r="Y31" s="4" t="s">
        <v>34</v>
      </c>
      <c r="Z31" s="4" t="s">
        <v>99</v>
      </c>
      <c r="AA31" s="4" t="s">
        <v>102</v>
      </c>
      <c r="AB31" s="6"/>
    </row>
    <row r="32" spans="1:28" ht="12.5" x14ac:dyDescent="0.25">
      <c r="A32" s="3">
        <v>45403.449751446758</v>
      </c>
      <c r="B32" s="4" t="s">
        <v>65</v>
      </c>
      <c r="R32" s="4">
        <v>1</v>
      </c>
      <c r="S32" s="4" t="s">
        <v>103</v>
      </c>
      <c r="T32" s="4" t="s">
        <v>104</v>
      </c>
      <c r="U32" s="5" t="s">
        <v>105</v>
      </c>
      <c r="V32" s="4" t="s">
        <v>69</v>
      </c>
      <c r="W32" s="4" t="s">
        <v>46</v>
      </c>
      <c r="Y32" s="4" t="s">
        <v>47</v>
      </c>
    </row>
    <row r="33" spans="1:28" ht="12.5" x14ac:dyDescent="0.25">
      <c r="A33" s="3">
        <v>45403.917320914348</v>
      </c>
      <c r="B33" s="4" t="s">
        <v>27</v>
      </c>
      <c r="F33" s="4">
        <v>1</v>
      </c>
      <c r="L33" s="4" t="s">
        <v>48</v>
      </c>
      <c r="M33" s="4">
        <v>1</v>
      </c>
      <c r="S33" s="4" t="s">
        <v>106</v>
      </c>
      <c r="T33" s="4" t="s">
        <v>107</v>
      </c>
      <c r="U33" s="4" t="s">
        <v>108</v>
      </c>
      <c r="V33" s="4" t="s">
        <v>45</v>
      </c>
      <c r="W33" s="4" t="s">
        <v>32</v>
      </c>
      <c r="X33" s="4">
        <v>15826</v>
      </c>
      <c r="Y33" s="4" t="s">
        <v>34</v>
      </c>
      <c r="Z33" s="4" t="s">
        <v>109</v>
      </c>
      <c r="AA33" s="4" t="s">
        <v>110</v>
      </c>
      <c r="AB33" s="6"/>
    </row>
    <row r="34" spans="1:28" ht="12.5" x14ac:dyDescent="0.25">
      <c r="A34" s="3">
        <v>45404.310366550926</v>
      </c>
      <c r="B34" s="4" t="s">
        <v>27</v>
      </c>
      <c r="C34" s="4">
        <v>1</v>
      </c>
      <c r="L34" s="4" t="s">
        <v>48</v>
      </c>
      <c r="M34" s="4">
        <v>1</v>
      </c>
      <c r="R34" s="4">
        <v>1</v>
      </c>
      <c r="S34" s="4" t="s">
        <v>111</v>
      </c>
      <c r="T34" s="4" t="s">
        <v>112</v>
      </c>
      <c r="U34" s="5" t="s">
        <v>113</v>
      </c>
      <c r="V34" s="4" t="s">
        <v>31</v>
      </c>
      <c r="W34" s="4" t="s">
        <v>46</v>
      </c>
      <c r="Y34" s="4" t="s">
        <v>47</v>
      </c>
    </row>
    <row r="35" spans="1:28" ht="12.5" x14ac:dyDescent="0.25">
      <c r="A35" s="3">
        <v>45404.365697094909</v>
      </c>
      <c r="B35" s="4" t="s">
        <v>27</v>
      </c>
      <c r="F35" s="4">
        <v>1</v>
      </c>
      <c r="L35" s="4" t="s">
        <v>36</v>
      </c>
      <c r="S35" s="4" t="s">
        <v>114</v>
      </c>
      <c r="T35" s="4" t="s">
        <v>115</v>
      </c>
      <c r="U35" s="5" t="s">
        <v>116</v>
      </c>
      <c r="V35" s="4" t="s">
        <v>45</v>
      </c>
      <c r="W35" s="4" t="s">
        <v>46</v>
      </c>
      <c r="Y35" s="4" t="s">
        <v>98</v>
      </c>
    </row>
    <row r="36" spans="1:28" ht="12.5" x14ac:dyDescent="0.25">
      <c r="A36" s="3">
        <v>45404.373646458334</v>
      </c>
      <c r="B36" s="4" t="s">
        <v>65</v>
      </c>
      <c r="R36" s="4">
        <v>1</v>
      </c>
      <c r="S36" s="4" t="s">
        <v>117</v>
      </c>
      <c r="T36" s="4" t="s">
        <v>118</v>
      </c>
      <c r="U36" s="5" t="s">
        <v>119</v>
      </c>
      <c r="V36" s="4" t="s">
        <v>45</v>
      </c>
      <c r="W36" s="4" t="s">
        <v>46</v>
      </c>
      <c r="Y36" s="4" t="s">
        <v>47</v>
      </c>
    </row>
    <row r="37" spans="1:28" ht="12.5" x14ac:dyDescent="0.25">
      <c r="A37" s="3">
        <v>45404.382961053241</v>
      </c>
      <c r="B37" s="4" t="s">
        <v>27</v>
      </c>
      <c r="E37" s="4">
        <v>2</v>
      </c>
      <c r="F37" s="4">
        <v>1</v>
      </c>
      <c r="L37" s="4" t="s">
        <v>48</v>
      </c>
      <c r="N37" s="4">
        <v>3</v>
      </c>
      <c r="Q37" s="4">
        <v>3</v>
      </c>
      <c r="S37" s="4" t="s">
        <v>120</v>
      </c>
      <c r="T37" s="4" t="s">
        <v>121</v>
      </c>
      <c r="U37" s="5" t="s">
        <v>122</v>
      </c>
      <c r="V37" s="4" t="s">
        <v>45</v>
      </c>
      <c r="W37" s="4" t="s">
        <v>46</v>
      </c>
      <c r="Y37" s="4" t="s">
        <v>78</v>
      </c>
    </row>
    <row r="38" spans="1:28" ht="12.5" x14ac:dyDescent="0.25">
      <c r="A38" s="3">
        <v>45404.386027800923</v>
      </c>
      <c r="B38" s="4" t="s">
        <v>27</v>
      </c>
      <c r="C38" s="4">
        <v>1</v>
      </c>
      <c r="H38" s="4">
        <v>3</v>
      </c>
      <c r="L38" s="4" t="s">
        <v>36</v>
      </c>
      <c r="S38" s="4" t="s">
        <v>123</v>
      </c>
      <c r="T38" s="4" t="s">
        <v>124</v>
      </c>
      <c r="U38" s="5" t="s">
        <v>125</v>
      </c>
      <c r="V38" s="4" t="s">
        <v>45</v>
      </c>
      <c r="W38" s="4" t="s">
        <v>32</v>
      </c>
      <c r="X38" s="5" t="s">
        <v>126</v>
      </c>
      <c r="Y38" s="4" t="s">
        <v>34</v>
      </c>
      <c r="Z38" s="4" t="s">
        <v>123</v>
      </c>
      <c r="AA38" s="4" t="s">
        <v>127</v>
      </c>
      <c r="AB38" s="6"/>
    </row>
    <row r="39" spans="1:28" ht="12.5" x14ac:dyDescent="0.25">
      <c r="A39" s="3">
        <v>45404.414427152777</v>
      </c>
      <c r="B39" s="4" t="s">
        <v>27</v>
      </c>
      <c r="C39" s="4">
        <v>2</v>
      </c>
      <c r="H39" s="4">
        <v>1</v>
      </c>
      <c r="L39" s="4" t="s">
        <v>36</v>
      </c>
      <c r="S39" s="4" t="s">
        <v>128</v>
      </c>
      <c r="T39" s="4" t="s">
        <v>129</v>
      </c>
      <c r="U39" s="5" t="s">
        <v>130</v>
      </c>
      <c r="V39" s="4" t="s">
        <v>31</v>
      </c>
      <c r="W39" s="4" t="s">
        <v>46</v>
      </c>
      <c r="Y39" s="4" t="s">
        <v>47</v>
      </c>
    </row>
    <row r="40" spans="1:28" ht="12.5" x14ac:dyDescent="0.25">
      <c r="A40" s="3">
        <v>45404.523283993054</v>
      </c>
      <c r="B40" s="4" t="s">
        <v>27</v>
      </c>
      <c r="H40" s="4">
        <v>1</v>
      </c>
      <c r="L40" s="4" t="s">
        <v>36</v>
      </c>
      <c r="O40" s="4" t="s">
        <v>131</v>
      </c>
      <c r="R40" s="4">
        <v>1</v>
      </c>
      <c r="S40" s="4" t="s">
        <v>132</v>
      </c>
      <c r="T40" s="4" t="s">
        <v>133</v>
      </c>
      <c r="U40" s="5" t="s">
        <v>134</v>
      </c>
      <c r="V40" s="4" t="s">
        <v>31</v>
      </c>
      <c r="W40" s="4" t="s">
        <v>46</v>
      </c>
      <c r="Y40" s="4" t="s">
        <v>98</v>
      </c>
    </row>
    <row r="41" spans="1:28" ht="12.5" x14ac:dyDescent="0.25">
      <c r="A41" s="3">
        <v>45404.533935208332</v>
      </c>
      <c r="B41" s="4" t="s">
        <v>65</v>
      </c>
      <c r="R41" s="4">
        <v>2</v>
      </c>
      <c r="S41" s="4" t="s">
        <v>135</v>
      </c>
      <c r="T41" s="4" t="s">
        <v>136</v>
      </c>
      <c r="U41" s="5" t="s">
        <v>137</v>
      </c>
      <c r="V41" s="4" t="s">
        <v>69</v>
      </c>
      <c r="W41" s="4" t="s">
        <v>46</v>
      </c>
      <c r="Y41" s="4" t="s">
        <v>98</v>
      </c>
    </row>
    <row r="42" spans="1:28" ht="12.5" x14ac:dyDescent="0.25">
      <c r="A42" s="3">
        <v>45404.534790844904</v>
      </c>
      <c r="B42" s="4" t="s">
        <v>65</v>
      </c>
      <c r="R42" s="4">
        <v>1</v>
      </c>
      <c r="S42" s="4" t="s">
        <v>138</v>
      </c>
      <c r="T42" s="4" t="s">
        <v>139</v>
      </c>
      <c r="U42" s="5" t="s">
        <v>140</v>
      </c>
      <c r="V42" s="4" t="s">
        <v>69</v>
      </c>
      <c r="W42" s="4" t="s">
        <v>46</v>
      </c>
      <c r="Y42" s="4" t="s">
        <v>47</v>
      </c>
    </row>
    <row r="43" spans="1:28" ht="12.5" x14ac:dyDescent="0.25">
      <c r="A43" s="3">
        <v>45404.545060405093</v>
      </c>
      <c r="B43" s="4" t="s">
        <v>65</v>
      </c>
      <c r="R43" s="4">
        <v>2</v>
      </c>
      <c r="S43" s="4" t="s">
        <v>141</v>
      </c>
      <c r="T43" s="4" t="s">
        <v>142</v>
      </c>
      <c r="U43" s="5" t="s">
        <v>143</v>
      </c>
      <c r="V43" s="4" t="s">
        <v>69</v>
      </c>
      <c r="W43" s="4" t="s">
        <v>46</v>
      </c>
      <c r="Y43" s="4" t="s">
        <v>47</v>
      </c>
    </row>
    <row r="44" spans="1:28" ht="12.5" x14ac:dyDescent="0.25">
      <c r="A44" s="3">
        <v>45404.601561597221</v>
      </c>
      <c r="B44" s="4" t="s">
        <v>27</v>
      </c>
      <c r="C44" s="4">
        <v>1</v>
      </c>
      <c r="I44" s="4">
        <v>2</v>
      </c>
      <c r="L44" s="4" t="s">
        <v>36</v>
      </c>
      <c r="S44" s="4" t="s">
        <v>144</v>
      </c>
      <c r="T44" s="8" t="s">
        <v>312</v>
      </c>
      <c r="U44" s="5">
        <v>939570308</v>
      </c>
      <c r="V44" s="4" t="s">
        <v>45</v>
      </c>
      <c r="W44" s="4" t="s">
        <v>46</v>
      </c>
      <c r="Y44" s="4" t="s">
        <v>78</v>
      </c>
    </row>
    <row r="45" spans="1:28" ht="12.5" x14ac:dyDescent="0.25">
      <c r="A45" s="3">
        <v>45404.603524976847</v>
      </c>
      <c r="B45" s="4" t="s">
        <v>27</v>
      </c>
      <c r="J45" s="4">
        <v>1</v>
      </c>
      <c r="L45" s="4" t="s">
        <v>36</v>
      </c>
      <c r="Q45" s="4">
        <v>1</v>
      </c>
      <c r="R45" s="4">
        <v>1</v>
      </c>
      <c r="S45" s="4" t="s">
        <v>145</v>
      </c>
      <c r="T45" s="4" t="s">
        <v>146</v>
      </c>
      <c r="U45" s="5" t="s">
        <v>122</v>
      </c>
      <c r="V45" s="4" t="s">
        <v>45</v>
      </c>
      <c r="W45" s="4" t="s">
        <v>46</v>
      </c>
      <c r="Y45" s="4" t="s">
        <v>78</v>
      </c>
    </row>
    <row r="46" spans="1:28" ht="12.5" x14ac:dyDescent="0.25">
      <c r="A46" s="3">
        <v>45404.604874074073</v>
      </c>
      <c r="B46" s="4" t="s">
        <v>27</v>
      </c>
      <c r="I46" s="4">
        <v>3</v>
      </c>
      <c r="L46" s="4" t="s">
        <v>36</v>
      </c>
      <c r="S46" s="4" t="s">
        <v>147</v>
      </c>
      <c r="T46" s="8" t="s">
        <v>311</v>
      </c>
      <c r="U46" s="5" t="s">
        <v>148</v>
      </c>
      <c r="V46" s="4" t="s">
        <v>45</v>
      </c>
      <c r="W46" s="4" t="s">
        <v>46</v>
      </c>
      <c r="Y46" s="4" t="s">
        <v>78</v>
      </c>
    </row>
    <row r="47" spans="1:28" ht="12.5" x14ac:dyDescent="0.25">
      <c r="A47" s="3">
        <v>45404.752854085644</v>
      </c>
      <c r="B47" s="4" t="s">
        <v>27</v>
      </c>
      <c r="D47" s="4">
        <v>1</v>
      </c>
      <c r="F47" s="4">
        <v>2</v>
      </c>
      <c r="H47" s="4">
        <v>2</v>
      </c>
      <c r="L47" s="4" t="s">
        <v>36</v>
      </c>
      <c r="Q47" s="4">
        <v>2</v>
      </c>
      <c r="S47" s="4" t="s">
        <v>149</v>
      </c>
      <c r="T47" s="4" t="s">
        <v>150</v>
      </c>
      <c r="U47" s="5" t="s">
        <v>151</v>
      </c>
      <c r="V47" s="4" t="s">
        <v>45</v>
      </c>
      <c r="W47" s="4" t="s">
        <v>46</v>
      </c>
      <c r="Y47" s="4" t="s">
        <v>78</v>
      </c>
    </row>
    <row r="48" spans="1:28" ht="12.5" x14ac:dyDescent="0.25">
      <c r="A48" s="3">
        <v>45404.827541203704</v>
      </c>
      <c r="B48" s="4" t="s">
        <v>65</v>
      </c>
      <c r="O48" s="4">
        <v>0</v>
      </c>
      <c r="P48" s="4">
        <v>0</v>
      </c>
      <c r="Q48" s="4">
        <v>0</v>
      </c>
      <c r="R48" s="4">
        <v>1</v>
      </c>
      <c r="S48" s="4" t="s">
        <v>152</v>
      </c>
      <c r="T48" s="4" t="s">
        <v>153</v>
      </c>
      <c r="U48" s="5" t="s">
        <v>154</v>
      </c>
      <c r="V48" s="4" t="s">
        <v>31</v>
      </c>
      <c r="W48" s="4" t="s">
        <v>46</v>
      </c>
      <c r="Y48" s="4" t="s">
        <v>47</v>
      </c>
    </row>
    <row r="49" spans="1:28" ht="12.5" x14ac:dyDescent="0.25">
      <c r="A49" s="3">
        <v>45404.853543287041</v>
      </c>
      <c r="B49" s="4" t="s">
        <v>27</v>
      </c>
      <c r="D49" s="4">
        <v>1</v>
      </c>
      <c r="L49" s="4" t="s">
        <v>36</v>
      </c>
      <c r="Q49" s="4">
        <v>1</v>
      </c>
      <c r="S49" s="4" t="s">
        <v>155</v>
      </c>
      <c r="T49" s="4" t="s">
        <v>156</v>
      </c>
      <c r="U49" s="5" t="s">
        <v>157</v>
      </c>
      <c r="V49" s="4" t="s">
        <v>45</v>
      </c>
      <c r="W49" s="4" t="s">
        <v>46</v>
      </c>
      <c r="Y49" s="4" t="s">
        <v>78</v>
      </c>
    </row>
    <row r="50" spans="1:28" ht="12.5" x14ac:dyDescent="0.25">
      <c r="A50" s="3">
        <v>45404.890893888893</v>
      </c>
      <c r="B50" s="4" t="s">
        <v>27</v>
      </c>
      <c r="C50" s="4">
        <v>1</v>
      </c>
      <c r="L50" s="4" t="s">
        <v>36</v>
      </c>
      <c r="S50" s="4" t="s">
        <v>158</v>
      </c>
      <c r="T50" s="4" t="s">
        <v>159</v>
      </c>
      <c r="U50" s="5" t="s">
        <v>160</v>
      </c>
      <c r="V50" s="4" t="s">
        <v>45</v>
      </c>
      <c r="W50" s="4" t="s">
        <v>32</v>
      </c>
      <c r="X50" s="4">
        <v>66456</v>
      </c>
      <c r="Y50" s="4" t="s">
        <v>34</v>
      </c>
      <c r="Z50" s="4" t="s">
        <v>158</v>
      </c>
      <c r="AA50" s="4" t="s">
        <v>161</v>
      </c>
      <c r="AB50" s="6"/>
    </row>
    <row r="51" spans="1:28" ht="12.5" x14ac:dyDescent="0.25">
      <c r="A51" s="3">
        <v>45404.90460927083</v>
      </c>
      <c r="B51" s="4" t="s">
        <v>65</v>
      </c>
      <c r="R51" s="4">
        <v>2</v>
      </c>
      <c r="S51" s="4" t="s">
        <v>162</v>
      </c>
      <c r="T51" s="4" t="s">
        <v>163</v>
      </c>
      <c r="U51" s="5" t="s">
        <v>164</v>
      </c>
      <c r="V51" s="4" t="s">
        <v>69</v>
      </c>
      <c r="W51" s="4" t="s">
        <v>46</v>
      </c>
      <c r="Y51" s="4" t="s">
        <v>47</v>
      </c>
    </row>
    <row r="52" spans="1:28" ht="12.5" x14ac:dyDescent="0.25">
      <c r="A52" s="3">
        <v>45404.925742002313</v>
      </c>
      <c r="B52" s="4" t="s">
        <v>27</v>
      </c>
      <c r="F52" s="4">
        <v>1</v>
      </c>
      <c r="L52" s="4" t="s">
        <v>48</v>
      </c>
      <c r="M52" s="4">
        <v>1</v>
      </c>
      <c r="S52" s="4" t="s">
        <v>165</v>
      </c>
      <c r="T52" s="4" t="s">
        <v>166</v>
      </c>
      <c r="U52" s="5" t="s">
        <v>167</v>
      </c>
      <c r="V52" s="4" t="s">
        <v>45</v>
      </c>
      <c r="W52" s="4" t="s">
        <v>46</v>
      </c>
      <c r="Y52" s="4" t="s">
        <v>47</v>
      </c>
    </row>
    <row r="53" spans="1:28" ht="12.5" x14ac:dyDescent="0.25">
      <c r="A53" s="3">
        <v>45405.413840740744</v>
      </c>
      <c r="B53" s="4" t="s">
        <v>27</v>
      </c>
      <c r="O53" s="4" t="s">
        <v>168</v>
      </c>
      <c r="S53" s="4" t="s">
        <v>169</v>
      </c>
      <c r="T53" s="4" t="s">
        <v>170</v>
      </c>
      <c r="U53" s="5" t="s">
        <v>171</v>
      </c>
      <c r="V53" s="4" t="s">
        <v>45</v>
      </c>
      <c r="W53" s="4" t="s">
        <v>46</v>
      </c>
      <c r="Y53" s="4" t="s">
        <v>172</v>
      </c>
    </row>
    <row r="54" spans="1:28" ht="12.5" x14ac:dyDescent="0.25">
      <c r="A54" s="3">
        <v>45405.5023941088</v>
      </c>
      <c r="B54" s="4" t="s">
        <v>27</v>
      </c>
      <c r="C54" s="4">
        <v>1</v>
      </c>
      <c r="E54" s="4">
        <v>1</v>
      </c>
      <c r="F54" s="4">
        <v>1</v>
      </c>
      <c r="G54" s="4">
        <v>1</v>
      </c>
      <c r="L54" s="4" t="s">
        <v>48</v>
      </c>
      <c r="M54" s="4">
        <v>1</v>
      </c>
      <c r="N54" s="4">
        <v>1</v>
      </c>
      <c r="O54" s="4" t="s">
        <v>173</v>
      </c>
      <c r="S54" s="4" t="s">
        <v>174</v>
      </c>
      <c r="T54" s="4" t="s">
        <v>175</v>
      </c>
      <c r="U54" s="5" t="s">
        <v>176</v>
      </c>
      <c r="V54" s="4" t="s">
        <v>45</v>
      </c>
      <c r="W54" s="4" t="s">
        <v>32</v>
      </c>
      <c r="X54" s="4">
        <v>68516</v>
      </c>
      <c r="Y54" s="4" t="s">
        <v>34</v>
      </c>
      <c r="Z54" s="4" t="s">
        <v>174</v>
      </c>
      <c r="AA54" s="4" t="s">
        <v>177</v>
      </c>
      <c r="AB54" s="6"/>
    </row>
    <row r="55" spans="1:28" ht="12.5" x14ac:dyDescent="0.25">
      <c r="A55" s="3">
        <v>45405.542630266209</v>
      </c>
      <c r="B55" s="4" t="s">
        <v>27</v>
      </c>
      <c r="I55" s="4">
        <v>4</v>
      </c>
      <c r="L55" s="4" t="s">
        <v>36</v>
      </c>
      <c r="O55" s="4" t="s">
        <v>173</v>
      </c>
      <c r="Q55" s="4">
        <v>1</v>
      </c>
      <c r="S55" s="4" t="s">
        <v>178</v>
      </c>
      <c r="T55" s="4" t="s">
        <v>179</v>
      </c>
      <c r="U55" s="5" t="s">
        <v>180</v>
      </c>
      <c r="V55" s="4" t="s">
        <v>69</v>
      </c>
      <c r="W55" s="4" t="s">
        <v>46</v>
      </c>
      <c r="Y55" s="4" t="s">
        <v>78</v>
      </c>
    </row>
    <row r="56" spans="1:28" ht="12.5" x14ac:dyDescent="0.25">
      <c r="A56" s="3">
        <v>45405.560968414356</v>
      </c>
      <c r="B56" s="4" t="s">
        <v>27</v>
      </c>
      <c r="D56" s="4">
        <v>1</v>
      </c>
      <c r="L56" s="4" t="s">
        <v>36</v>
      </c>
      <c r="S56" s="4" t="s">
        <v>181</v>
      </c>
      <c r="T56" s="4" t="s">
        <v>182</v>
      </c>
      <c r="U56" s="5" t="s">
        <v>183</v>
      </c>
      <c r="V56" s="4" t="s">
        <v>69</v>
      </c>
      <c r="W56" s="4" t="s">
        <v>46</v>
      </c>
      <c r="Y56" s="4" t="s">
        <v>78</v>
      </c>
    </row>
    <row r="57" spans="1:28" ht="12.5" x14ac:dyDescent="0.25">
      <c r="A57" s="3">
        <v>45405.717640208335</v>
      </c>
      <c r="B57" s="4" t="s">
        <v>27</v>
      </c>
      <c r="H57" s="4">
        <v>4</v>
      </c>
      <c r="L57" s="4" t="s">
        <v>48</v>
      </c>
      <c r="M57" s="4">
        <v>2</v>
      </c>
      <c r="N57" s="4">
        <v>2</v>
      </c>
      <c r="S57" s="4" t="s">
        <v>184</v>
      </c>
      <c r="T57" s="4" t="s">
        <v>185</v>
      </c>
      <c r="U57" s="5" t="s">
        <v>186</v>
      </c>
      <c r="V57" s="4" t="s">
        <v>45</v>
      </c>
      <c r="W57" s="4" t="s">
        <v>46</v>
      </c>
      <c r="Y57" s="4" t="s">
        <v>78</v>
      </c>
    </row>
    <row r="58" spans="1:28" ht="12.5" x14ac:dyDescent="0.25">
      <c r="A58" s="3">
        <v>45405.766737881946</v>
      </c>
      <c r="B58" s="4" t="s">
        <v>27</v>
      </c>
      <c r="C58" s="4">
        <v>1</v>
      </c>
      <c r="D58" s="4">
        <v>1</v>
      </c>
      <c r="L58" s="4" t="s">
        <v>36</v>
      </c>
      <c r="S58" s="4" t="s">
        <v>187</v>
      </c>
      <c r="T58" s="4" t="s">
        <v>188</v>
      </c>
      <c r="U58" s="5" t="s">
        <v>189</v>
      </c>
      <c r="V58" s="4" t="s">
        <v>45</v>
      </c>
      <c r="W58" s="4" t="s">
        <v>32</v>
      </c>
      <c r="X58" s="4">
        <v>69780</v>
      </c>
      <c r="Y58" s="4" t="s">
        <v>34</v>
      </c>
      <c r="Z58" s="4" t="s">
        <v>187</v>
      </c>
      <c r="AA58" s="4" t="s">
        <v>190</v>
      </c>
      <c r="AB58" s="6"/>
    </row>
    <row r="59" spans="1:28" ht="12.5" x14ac:dyDescent="0.25">
      <c r="A59" s="3">
        <v>45405.853411388889</v>
      </c>
      <c r="B59" s="4" t="s">
        <v>65</v>
      </c>
      <c r="R59" s="4">
        <v>1</v>
      </c>
      <c r="S59" s="4" t="s">
        <v>191</v>
      </c>
      <c r="T59" s="4" t="s">
        <v>192</v>
      </c>
      <c r="U59" s="5" t="s">
        <v>193</v>
      </c>
      <c r="V59" s="4" t="s">
        <v>69</v>
      </c>
      <c r="W59" s="4" t="s">
        <v>46</v>
      </c>
      <c r="Y59" s="4" t="s">
        <v>98</v>
      </c>
    </row>
    <row r="60" spans="1:28" ht="12.5" x14ac:dyDescent="0.25">
      <c r="A60" s="3">
        <v>45406.864228078703</v>
      </c>
      <c r="B60" s="4" t="s">
        <v>65</v>
      </c>
      <c r="O60" s="4" t="s">
        <v>194</v>
      </c>
      <c r="S60" s="4" t="s">
        <v>195</v>
      </c>
      <c r="T60" s="4" t="s">
        <v>196</v>
      </c>
      <c r="U60" s="5" t="s">
        <v>197</v>
      </c>
      <c r="V60" s="4" t="s">
        <v>31</v>
      </c>
      <c r="W60" s="4" t="s">
        <v>46</v>
      </c>
      <c r="Y60" s="4" t="s">
        <v>47</v>
      </c>
    </row>
    <row r="61" spans="1:28" ht="12.5" x14ac:dyDescent="0.25">
      <c r="A61" s="3">
        <v>45407.676162754629</v>
      </c>
      <c r="B61" s="4" t="s">
        <v>65</v>
      </c>
      <c r="R61" s="4">
        <v>3</v>
      </c>
      <c r="S61" s="4" t="s">
        <v>198</v>
      </c>
      <c r="T61" s="4" t="s">
        <v>199</v>
      </c>
      <c r="U61" s="5" t="s">
        <v>200</v>
      </c>
      <c r="V61" s="4" t="s">
        <v>69</v>
      </c>
      <c r="W61" s="4" t="s">
        <v>32</v>
      </c>
      <c r="X61" s="4">
        <v>25231</v>
      </c>
      <c r="Y61" s="4" t="s">
        <v>98</v>
      </c>
    </row>
    <row r="62" spans="1:28" ht="12.5" x14ac:dyDescent="0.25">
      <c r="A62" s="3">
        <v>45407.99028795139</v>
      </c>
      <c r="B62" s="4" t="s">
        <v>27</v>
      </c>
      <c r="D62" s="4">
        <v>1</v>
      </c>
      <c r="L62" s="4" t="s">
        <v>36</v>
      </c>
      <c r="Q62" s="4">
        <v>1</v>
      </c>
      <c r="S62" s="4" t="s">
        <v>201</v>
      </c>
      <c r="T62" s="4" t="s">
        <v>202</v>
      </c>
      <c r="U62" s="5" t="s">
        <v>203</v>
      </c>
      <c r="V62" s="4" t="s">
        <v>45</v>
      </c>
      <c r="W62" s="4" t="s">
        <v>32</v>
      </c>
      <c r="X62" s="4">
        <v>52352</v>
      </c>
      <c r="Y62" s="4" t="s">
        <v>34</v>
      </c>
      <c r="Z62" s="4" t="s">
        <v>201</v>
      </c>
      <c r="AA62" s="4" t="s">
        <v>204</v>
      </c>
    </row>
    <row r="63" spans="1:28" ht="12.5" x14ac:dyDescent="0.25">
      <c r="A63" s="3">
        <v>45408.145073587963</v>
      </c>
      <c r="B63" s="4" t="s">
        <v>27</v>
      </c>
      <c r="C63" s="4">
        <v>2</v>
      </c>
      <c r="D63" s="4">
        <v>2</v>
      </c>
      <c r="L63" s="4" t="s">
        <v>48</v>
      </c>
      <c r="M63" s="4">
        <v>2</v>
      </c>
      <c r="N63" s="4">
        <v>2</v>
      </c>
      <c r="Q63" s="4">
        <v>2</v>
      </c>
      <c r="R63" s="4">
        <v>10</v>
      </c>
      <c r="S63" s="4" t="s">
        <v>205</v>
      </c>
      <c r="T63" s="4" t="s">
        <v>206</v>
      </c>
      <c r="U63" s="5" t="s">
        <v>207</v>
      </c>
      <c r="V63" s="4" t="s">
        <v>45</v>
      </c>
      <c r="W63" s="4" t="s">
        <v>32</v>
      </c>
      <c r="X63" s="5" t="s">
        <v>208</v>
      </c>
      <c r="Y63" s="4" t="s">
        <v>98</v>
      </c>
    </row>
    <row r="64" spans="1:28" ht="12.5" x14ac:dyDescent="0.25">
      <c r="A64" s="3">
        <v>45408.435603321763</v>
      </c>
      <c r="B64" s="4" t="s">
        <v>27</v>
      </c>
      <c r="D64" s="4">
        <v>1</v>
      </c>
      <c r="S64" s="4" t="s">
        <v>209</v>
      </c>
      <c r="T64" s="4" t="s">
        <v>210</v>
      </c>
      <c r="U64" s="5" t="s">
        <v>211</v>
      </c>
      <c r="V64" s="4" t="s">
        <v>45</v>
      </c>
      <c r="W64" s="4" t="s">
        <v>32</v>
      </c>
      <c r="X64" s="4">
        <v>52647</v>
      </c>
      <c r="Y64" s="4" t="s">
        <v>34</v>
      </c>
      <c r="Z64" s="4" t="s">
        <v>209</v>
      </c>
      <c r="AA64" s="4" t="s">
        <v>212</v>
      </c>
    </row>
    <row r="65" spans="1:27" ht="12.5" x14ac:dyDescent="0.25">
      <c r="A65" s="3">
        <v>45408.541278854165</v>
      </c>
      <c r="B65" s="4" t="s">
        <v>27</v>
      </c>
      <c r="C65" s="4">
        <v>2</v>
      </c>
      <c r="H65" s="4">
        <v>1</v>
      </c>
      <c r="L65" s="4" t="s">
        <v>48</v>
      </c>
      <c r="M65" s="4">
        <v>1</v>
      </c>
      <c r="N65" s="4">
        <v>2</v>
      </c>
      <c r="P65" s="4">
        <v>1</v>
      </c>
      <c r="S65" s="4" t="s">
        <v>213</v>
      </c>
      <c r="T65" s="4" t="s">
        <v>214</v>
      </c>
      <c r="U65" s="5" t="s">
        <v>215</v>
      </c>
      <c r="V65" s="4" t="s">
        <v>40</v>
      </c>
      <c r="W65" s="4" t="s">
        <v>46</v>
      </c>
      <c r="Y65" s="4" t="s">
        <v>98</v>
      </c>
    </row>
    <row r="66" spans="1:27" ht="12.5" x14ac:dyDescent="0.25">
      <c r="A66" s="3">
        <v>45408.778745150463</v>
      </c>
      <c r="B66" s="4" t="s">
        <v>27</v>
      </c>
      <c r="H66" s="4">
        <v>2</v>
      </c>
      <c r="L66" s="4" t="s">
        <v>48</v>
      </c>
      <c r="S66" s="4" t="s">
        <v>216</v>
      </c>
      <c r="T66" s="4" t="s">
        <v>217</v>
      </c>
      <c r="U66" s="5" t="s">
        <v>218</v>
      </c>
      <c r="V66" s="4" t="s">
        <v>31</v>
      </c>
      <c r="W66" s="4" t="s">
        <v>32</v>
      </c>
      <c r="X66" s="4" t="s">
        <v>219</v>
      </c>
      <c r="Y66" s="4" t="s">
        <v>47</v>
      </c>
    </row>
    <row r="67" spans="1:27" ht="12.5" x14ac:dyDescent="0.25">
      <c r="A67" s="3">
        <v>45408.909370219902</v>
      </c>
      <c r="B67" s="4" t="s">
        <v>65</v>
      </c>
      <c r="R67" s="4">
        <v>1</v>
      </c>
      <c r="S67" s="4" t="s">
        <v>220</v>
      </c>
      <c r="T67" s="4" t="s">
        <v>221</v>
      </c>
      <c r="U67" s="5" t="s">
        <v>222</v>
      </c>
      <c r="V67" s="4" t="s">
        <v>31</v>
      </c>
      <c r="W67" s="4" t="s">
        <v>46</v>
      </c>
      <c r="Y67" s="4" t="s">
        <v>47</v>
      </c>
    </row>
    <row r="68" spans="1:27" ht="12.5" x14ac:dyDescent="0.25">
      <c r="A68" s="3">
        <v>45408.91886586805</v>
      </c>
      <c r="B68" s="4" t="s">
        <v>27</v>
      </c>
      <c r="C68" s="4">
        <v>1</v>
      </c>
      <c r="D68" s="4">
        <v>1</v>
      </c>
      <c r="L68" s="4" t="s">
        <v>48</v>
      </c>
      <c r="M68" s="4">
        <v>1</v>
      </c>
      <c r="N68" s="4">
        <v>1</v>
      </c>
      <c r="S68" s="4" t="s">
        <v>223</v>
      </c>
      <c r="T68" s="4" t="s">
        <v>224</v>
      </c>
      <c r="U68" s="5" t="s">
        <v>225</v>
      </c>
      <c r="V68" s="4" t="s">
        <v>45</v>
      </c>
      <c r="W68" s="4" t="s">
        <v>46</v>
      </c>
      <c r="Y68" s="4" t="s">
        <v>47</v>
      </c>
    </row>
    <row r="69" spans="1:27" ht="12.5" x14ac:dyDescent="0.25">
      <c r="A69" s="3">
        <v>45408.92497122685</v>
      </c>
      <c r="B69" s="4" t="s">
        <v>27</v>
      </c>
      <c r="H69" s="4">
        <v>1</v>
      </c>
      <c r="L69" s="4" t="s">
        <v>36</v>
      </c>
      <c r="S69" s="4" t="s">
        <v>226</v>
      </c>
      <c r="T69" s="4" t="s">
        <v>227</v>
      </c>
      <c r="U69" s="5" t="s">
        <v>228</v>
      </c>
      <c r="V69" s="4" t="s">
        <v>45</v>
      </c>
      <c r="W69" s="4" t="s">
        <v>32</v>
      </c>
      <c r="X69" s="4">
        <v>84535</v>
      </c>
      <c r="Y69" s="4" t="s">
        <v>34</v>
      </c>
      <c r="Z69" s="4" t="s">
        <v>226</v>
      </c>
      <c r="AA69" s="4" t="s">
        <v>229</v>
      </c>
    </row>
    <row r="70" spans="1:27" ht="12.5" x14ac:dyDescent="0.25">
      <c r="A70" s="3">
        <v>45408.927804166669</v>
      </c>
      <c r="B70" s="4" t="s">
        <v>65</v>
      </c>
      <c r="R70" s="4">
        <v>1</v>
      </c>
      <c r="S70" s="4" t="s">
        <v>230</v>
      </c>
      <c r="T70" s="4" t="s">
        <v>231</v>
      </c>
      <c r="U70" s="5" t="s">
        <v>232</v>
      </c>
      <c r="V70" s="4" t="s">
        <v>31</v>
      </c>
      <c r="W70" s="4" t="s">
        <v>46</v>
      </c>
      <c r="Y70" s="4" t="s">
        <v>98</v>
      </c>
    </row>
    <row r="71" spans="1:27" ht="12.5" x14ac:dyDescent="0.25">
      <c r="A71" s="3">
        <v>45408.986844016203</v>
      </c>
      <c r="B71" s="4" t="s">
        <v>27</v>
      </c>
      <c r="F71" s="4">
        <v>1</v>
      </c>
      <c r="G71" s="4">
        <v>1</v>
      </c>
      <c r="J71" s="4">
        <v>1</v>
      </c>
      <c r="L71" s="4" t="s">
        <v>36</v>
      </c>
      <c r="S71" s="4" t="s">
        <v>233</v>
      </c>
      <c r="T71" s="4" t="s">
        <v>234</v>
      </c>
      <c r="U71" s="5" t="s">
        <v>235</v>
      </c>
      <c r="V71" s="4" t="s">
        <v>45</v>
      </c>
      <c r="W71" s="4" t="s">
        <v>32</v>
      </c>
      <c r="X71" s="4">
        <v>56840</v>
      </c>
      <c r="Y71" s="4" t="s">
        <v>78</v>
      </c>
    </row>
    <row r="72" spans="1:27" ht="12.5" x14ac:dyDescent="0.25">
      <c r="A72" s="3">
        <v>45409.00226793981</v>
      </c>
      <c r="B72" s="4" t="s">
        <v>27</v>
      </c>
      <c r="C72" s="4">
        <v>1</v>
      </c>
      <c r="D72" s="4">
        <v>1</v>
      </c>
      <c r="G72" s="4">
        <v>2</v>
      </c>
      <c r="H72" s="4">
        <v>1</v>
      </c>
      <c r="L72" s="4" t="s">
        <v>48</v>
      </c>
      <c r="M72" s="4">
        <v>5</v>
      </c>
      <c r="N72" s="4">
        <v>5</v>
      </c>
      <c r="S72" s="4" t="s">
        <v>236</v>
      </c>
      <c r="T72" s="4" t="s">
        <v>237</v>
      </c>
      <c r="U72" s="5" t="s">
        <v>238</v>
      </c>
      <c r="V72" s="4" t="s">
        <v>45</v>
      </c>
      <c r="W72" s="4" t="s">
        <v>32</v>
      </c>
      <c r="X72" s="4">
        <v>52817</v>
      </c>
      <c r="Y72" s="4" t="s">
        <v>34</v>
      </c>
      <c r="Z72" s="4" t="s">
        <v>236</v>
      </c>
      <c r="AA72" s="4" t="s">
        <v>239</v>
      </c>
    </row>
    <row r="73" spans="1:27" ht="12.5" x14ac:dyDescent="0.25">
      <c r="A73" s="3">
        <v>45409.036374652773</v>
      </c>
      <c r="B73" s="4" t="s">
        <v>27</v>
      </c>
      <c r="D73" s="4">
        <v>1</v>
      </c>
      <c r="L73" s="4" t="s">
        <v>48</v>
      </c>
      <c r="M73" s="4">
        <v>1</v>
      </c>
      <c r="S73" s="4" t="s">
        <v>240</v>
      </c>
      <c r="T73" s="4" t="s">
        <v>241</v>
      </c>
      <c r="U73" s="5" t="s">
        <v>242</v>
      </c>
      <c r="V73" s="4" t="s">
        <v>45</v>
      </c>
      <c r="W73" s="4" t="s">
        <v>46</v>
      </c>
      <c r="Y73" s="4" t="s">
        <v>98</v>
      </c>
    </row>
    <row r="74" spans="1:27" ht="12.5" x14ac:dyDescent="0.25">
      <c r="A74" s="3">
        <v>45409.077683402778</v>
      </c>
      <c r="B74" s="4" t="s">
        <v>27</v>
      </c>
      <c r="C74" s="4">
        <v>1</v>
      </c>
      <c r="L74" s="4" t="s">
        <v>36</v>
      </c>
      <c r="S74" s="4" t="s">
        <v>243</v>
      </c>
      <c r="T74" s="4" t="s">
        <v>244</v>
      </c>
      <c r="U74" s="5" t="s">
        <v>245</v>
      </c>
      <c r="V74" s="4" t="s">
        <v>69</v>
      </c>
      <c r="W74" s="4" t="s">
        <v>46</v>
      </c>
      <c r="Y74" s="4" t="s">
        <v>78</v>
      </c>
    </row>
    <row r="75" spans="1:27" ht="12.5" x14ac:dyDescent="0.25">
      <c r="A75" s="3">
        <v>45409.424860914354</v>
      </c>
      <c r="B75" s="4" t="s">
        <v>27</v>
      </c>
      <c r="C75" s="4">
        <v>1</v>
      </c>
      <c r="D75" s="4">
        <v>1</v>
      </c>
      <c r="I75" s="4">
        <v>5</v>
      </c>
      <c r="L75" s="4" t="s">
        <v>48</v>
      </c>
      <c r="M75" s="4">
        <v>1</v>
      </c>
      <c r="N75" s="4">
        <v>1</v>
      </c>
      <c r="S75" s="4" t="s">
        <v>246</v>
      </c>
      <c r="T75" s="4" t="s">
        <v>247</v>
      </c>
      <c r="U75" s="5" t="s">
        <v>248</v>
      </c>
      <c r="V75" s="4" t="s">
        <v>45</v>
      </c>
      <c r="W75" s="4" t="s">
        <v>32</v>
      </c>
      <c r="X75" s="4">
        <v>79792</v>
      </c>
      <c r="Y75" s="4" t="s">
        <v>47</v>
      </c>
    </row>
    <row r="76" spans="1:27" ht="12.5" x14ac:dyDescent="0.25">
      <c r="A76" s="3">
        <v>45409.469767395829</v>
      </c>
      <c r="B76" s="4" t="s">
        <v>27</v>
      </c>
      <c r="H76" s="4">
        <v>2</v>
      </c>
      <c r="L76" s="4" t="s">
        <v>36</v>
      </c>
      <c r="S76" s="4" t="s">
        <v>249</v>
      </c>
      <c r="T76" s="4" t="s">
        <v>250</v>
      </c>
      <c r="U76" s="5" t="s">
        <v>251</v>
      </c>
      <c r="V76" s="4" t="s">
        <v>69</v>
      </c>
      <c r="W76" s="4" t="s">
        <v>32</v>
      </c>
      <c r="X76" s="4">
        <v>92856</v>
      </c>
      <c r="Y76" s="4" t="s">
        <v>172</v>
      </c>
    </row>
    <row r="77" spans="1:27" ht="12.5" x14ac:dyDescent="0.25">
      <c r="A77" s="3">
        <v>45409.484721238427</v>
      </c>
      <c r="B77" s="4" t="s">
        <v>65</v>
      </c>
      <c r="R77" s="4">
        <v>8</v>
      </c>
      <c r="S77" s="4" t="s">
        <v>252</v>
      </c>
      <c r="T77" s="4" t="s">
        <v>253</v>
      </c>
      <c r="U77" s="5" t="s">
        <v>122</v>
      </c>
      <c r="V77" s="4" t="s">
        <v>31</v>
      </c>
      <c r="W77" s="4" t="s">
        <v>32</v>
      </c>
      <c r="X77" s="4">
        <v>82828</v>
      </c>
      <c r="Y77" s="4" t="s">
        <v>172</v>
      </c>
    </row>
    <row r="78" spans="1:27" ht="12.5" x14ac:dyDescent="0.25">
      <c r="A78" s="3">
        <v>45409.514811284724</v>
      </c>
      <c r="B78" s="4" t="s">
        <v>65</v>
      </c>
      <c r="R78" s="4">
        <v>1</v>
      </c>
      <c r="S78" s="4" t="s">
        <v>254</v>
      </c>
      <c r="T78" s="4" t="s">
        <v>255</v>
      </c>
      <c r="U78" s="5" t="s">
        <v>256</v>
      </c>
      <c r="V78" s="4" t="s">
        <v>69</v>
      </c>
      <c r="W78" s="4" t="s">
        <v>46</v>
      </c>
      <c r="Y78" s="4" t="s">
        <v>98</v>
      </c>
    </row>
    <row r="79" spans="1:27" ht="12.5" x14ac:dyDescent="0.25">
      <c r="A79" s="3">
        <v>45409.579874733798</v>
      </c>
      <c r="B79" s="4" t="s">
        <v>65</v>
      </c>
      <c r="R79" s="4">
        <v>2</v>
      </c>
      <c r="S79" s="4" t="s">
        <v>257</v>
      </c>
      <c r="T79" s="4" t="s">
        <v>258</v>
      </c>
      <c r="U79" s="5" t="s">
        <v>259</v>
      </c>
      <c r="V79" s="4" t="s">
        <v>40</v>
      </c>
      <c r="W79" s="4" t="s">
        <v>32</v>
      </c>
      <c r="X79" s="4">
        <v>41451</v>
      </c>
      <c r="Y79" s="4" t="s">
        <v>34</v>
      </c>
      <c r="Z79" s="4" t="s">
        <v>257</v>
      </c>
      <c r="AA79" s="4" t="s">
        <v>260</v>
      </c>
    </row>
    <row r="80" spans="1:27" ht="12.5" x14ac:dyDescent="0.25">
      <c r="A80" s="3">
        <v>45409.590242858802</v>
      </c>
      <c r="B80" s="4" t="s">
        <v>65</v>
      </c>
      <c r="R80" s="4">
        <v>1</v>
      </c>
      <c r="S80" s="4" t="s">
        <v>261</v>
      </c>
      <c r="T80" s="4" t="s">
        <v>262</v>
      </c>
      <c r="U80" s="5" t="s">
        <v>263</v>
      </c>
      <c r="V80" s="4" t="s">
        <v>45</v>
      </c>
      <c r="W80" s="4" t="s">
        <v>46</v>
      </c>
      <c r="Y80" s="4" t="s">
        <v>98</v>
      </c>
    </row>
    <row r="81" spans="1:28" ht="12.5" x14ac:dyDescent="0.25">
      <c r="A81" s="3">
        <v>45409.627446886574</v>
      </c>
      <c r="B81" s="4" t="s">
        <v>27</v>
      </c>
      <c r="H81" s="4">
        <v>2</v>
      </c>
      <c r="L81" s="4" t="s">
        <v>36</v>
      </c>
      <c r="O81" s="4">
        <v>0</v>
      </c>
      <c r="P81" s="4">
        <v>0</v>
      </c>
      <c r="Q81" s="4">
        <v>0</v>
      </c>
      <c r="R81" s="4">
        <v>2</v>
      </c>
      <c r="S81" s="4" t="s">
        <v>264</v>
      </c>
      <c r="T81" s="4" t="s">
        <v>265</v>
      </c>
      <c r="U81" s="5" t="s">
        <v>266</v>
      </c>
      <c r="V81" s="4" t="s">
        <v>45</v>
      </c>
      <c r="W81" s="4" t="s">
        <v>32</v>
      </c>
      <c r="X81" s="4">
        <v>85105</v>
      </c>
      <c r="Y81" s="4" t="s">
        <v>34</v>
      </c>
      <c r="Z81" s="4" t="s">
        <v>264</v>
      </c>
      <c r="AA81" s="4" t="s">
        <v>267</v>
      </c>
    </row>
    <row r="82" spans="1:28" ht="12.5" x14ac:dyDescent="0.25">
      <c r="A82" s="3">
        <v>45409.645337222217</v>
      </c>
      <c r="B82" s="4" t="s">
        <v>27</v>
      </c>
      <c r="C82" s="4">
        <v>1</v>
      </c>
      <c r="E82" s="4">
        <v>2</v>
      </c>
      <c r="F82" s="4">
        <v>2</v>
      </c>
      <c r="G82" s="4">
        <v>10</v>
      </c>
      <c r="H82" s="4">
        <v>5</v>
      </c>
      <c r="L82" s="4" t="s">
        <v>48</v>
      </c>
      <c r="N82" s="4">
        <v>20</v>
      </c>
      <c r="S82" s="4" t="s">
        <v>268</v>
      </c>
      <c r="T82" s="8" t="s">
        <v>313</v>
      </c>
      <c r="U82" s="9" t="s">
        <v>314</v>
      </c>
      <c r="V82" s="4" t="s">
        <v>45</v>
      </c>
      <c r="W82" s="4" t="s">
        <v>32</v>
      </c>
      <c r="X82" s="4">
        <v>40236</v>
      </c>
      <c r="Y82" s="4" t="s">
        <v>34</v>
      </c>
      <c r="Z82" s="4" t="s">
        <v>268</v>
      </c>
      <c r="AA82" s="4" t="s">
        <v>269</v>
      </c>
    </row>
    <row r="83" spans="1:28" ht="12.5" x14ac:dyDescent="0.25">
      <c r="A83" s="3">
        <v>45409.649926018523</v>
      </c>
      <c r="B83" s="4" t="s">
        <v>65</v>
      </c>
      <c r="R83" s="4">
        <v>1</v>
      </c>
      <c r="S83" s="4" t="s">
        <v>270</v>
      </c>
      <c r="T83" s="4" t="s">
        <v>271</v>
      </c>
      <c r="U83" s="5" t="s">
        <v>272</v>
      </c>
      <c r="V83" s="4" t="s">
        <v>40</v>
      </c>
      <c r="W83" s="4" t="s">
        <v>46</v>
      </c>
      <c r="Y83" s="4" t="s">
        <v>98</v>
      </c>
    </row>
    <row r="84" spans="1:28" ht="12.5" x14ac:dyDescent="0.25">
      <c r="A84" s="3">
        <v>45409.655081909717</v>
      </c>
      <c r="B84" s="4" t="s">
        <v>27</v>
      </c>
      <c r="C84" s="4">
        <v>1</v>
      </c>
      <c r="L84" s="4" t="s">
        <v>48</v>
      </c>
      <c r="M84" s="4">
        <v>1</v>
      </c>
      <c r="N84" s="4">
        <v>1</v>
      </c>
      <c r="S84" s="4" t="s">
        <v>273</v>
      </c>
      <c r="T84" s="4" t="s">
        <v>274</v>
      </c>
      <c r="U84" s="5" t="s">
        <v>275</v>
      </c>
      <c r="V84" s="4" t="s">
        <v>69</v>
      </c>
      <c r="W84" s="4" t="s">
        <v>46</v>
      </c>
      <c r="Y84" s="4" t="s">
        <v>47</v>
      </c>
    </row>
    <row r="85" spans="1:28" ht="12.5" x14ac:dyDescent="0.25">
      <c r="A85" s="3">
        <v>45409.710727557875</v>
      </c>
      <c r="B85" s="4" t="s">
        <v>27</v>
      </c>
      <c r="C85" s="4">
        <v>1</v>
      </c>
      <c r="I85" s="4">
        <v>5</v>
      </c>
      <c r="L85" s="4" t="s">
        <v>36</v>
      </c>
      <c r="S85" s="4" t="s">
        <v>276</v>
      </c>
      <c r="T85" s="4" t="s">
        <v>277</v>
      </c>
      <c r="U85" s="5" t="s">
        <v>278</v>
      </c>
      <c r="V85" s="4" t="s">
        <v>69</v>
      </c>
      <c r="W85" s="4" t="s">
        <v>46</v>
      </c>
      <c r="Y85" s="4" t="s">
        <v>78</v>
      </c>
    </row>
    <row r="86" spans="1:28" ht="12.5" x14ac:dyDescent="0.25">
      <c r="A86" s="3">
        <v>45409.788895775462</v>
      </c>
      <c r="B86" s="4" t="s">
        <v>27</v>
      </c>
      <c r="D86" s="4">
        <v>1</v>
      </c>
      <c r="L86" s="4" t="s">
        <v>48</v>
      </c>
      <c r="M86" s="4">
        <v>1</v>
      </c>
      <c r="S86" s="4" t="s">
        <v>279</v>
      </c>
      <c r="T86" s="4" t="s">
        <v>280</v>
      </c>
      <c r="U86" s="5" t="s">
        <v>281</v>
      </c>
      <c r="V86" s="4" t="s">
        <v>40</v>
      </c>
      <c r="W86" s="4" t="s">
        <v>46</v>
      </c>
      <c r="Y86" s="4" t="s">
        <v>98</v>
      </c>
    </row>
    <row r="87" spans="1:28" ht="12.5" x14ac:dyDescent="0.25">
      <c r="A87" s="3">
        <v>45409.922384641206</v>
      </c>
      <c r="B87" s="4" t="s">
        <v>27</v>
      </c>
      <c r="C87" s="4">
        <v>1</v>
      </c>
      <c r="F87" s="4">
        <v>1</v>
      </c>
      <c r="I87" s="4">
        <v>2</v>
      </c>
      <c r="L87" s="4" t="s">
        <v>48</v>
      </c>
      <c r="M87" s="4">
        <v>1</v>
      </c>
      <c r="N87" s="4">
        <v>1</v>
      </c>
      <c r="R87" s="4">
        <v>1</v>
      </c>
      <c r="S87" s="4" t="s">
        <v>282</v>
      </c>
      <c r="T87" s="4" t="s">
        <v>283</v>
      </c>
      <c r="U87" s="5" t="s">
        <v>284</v>
      </c>
      <c r="V87" s="4" t="s">
        <v>31</v>
      </c>
      <c r="W87" s="4" t="s">
        <v>46</v>
      </c>
      <c r="Y87" s="4" t="s">
        <v>98</v>
      </c>
    </row>
    <row r="88" spans="1:28" ht="12.5" x14ac:dyDescent="0.25">
      <c r="A88" s="3">
        <v>45410.412455335652</v>
      </c>
      <c r="B88" s="4" t="s">
        <v>27</v>
      </c>
      <c r="C88" s="4">
        <v>1</v>
      </c>
      <c r="D88" s="4">
        <v>1</v>
      </c>
      <c r="L88" s="4" t="s">
        <v>36</v>
      </c>
      <c r="S88" s="4" t="s">
        <v>285</v>
      </c>
      <c r="T88" s="4" t="s">
        <v>286</v>
      </c>
      <c r="U88" s="5" t="s">
        <v>287</v>
      </c>
      <c r="V88" s="4" t="s">
        <v>45</v>
      </c>
      <c r="W88" s="4" t="s">
        <v>32</v>
      </c>
      <c r="X88" s="5" t="s">
        <v>288</v>
      </c>
      <c r="Y88" s="4" t="s">
        <v>78</v>
      </c>
    </row>
    <row r="89" spans="1:28" ht="12.5" x14ac:dyDescent="0.25">
      <c r="A89" s="3">
        <v>45410.588732465279</v>
      </c>
      <c r="B89" s="4" t="s">
        <v>27</v>
      </c>
      <c r="E89" s="4">
        <v>1</v>
      </c>
      <c r="F89" s="4">
        <v>1</v>
      </c>
      <c r="H89" s="4">
        <v>1</v>
      </c>
      <c r="I89" s="4">
        <v>20</v>
      </c>
      <c r="J89" s="4">
        <v>1</v>
      </c>
      <c r="K89" s="4">
        <v>2</v>
      </c>
      <c r="L89" s="4" t="s">
        <v>36</v>
      </c>
      <c r="O89" s="4">
        <v>6</v>
      </c>
      <c r="Q89" s="4">
        <v>1</v>
      </c>
      <c r="S89" s="4" t="s">
        <v>289</v>
      </c>
      <c r="T89" s="4" t="s">
        <v>290</v>
      </c>
      <c r="U89" s="5" t="s">
        <v>291</v>
      </c>
      <c r="V89" s="4" t="s">
        <v>45</v>
      </c>
      <c r="W89" s="4" t="s">
        <v>46</v>
      </c>
      <c r="Y89" s="4" t="s">
        <v>172</v>
      </c>
      <c r="AB89" s="4" t="s">
        <v>292</v>
      </c>
    </row>
    <row r="90" spans="1:28" ht="12.5" x14ac:dyDescent="0.25">
      <c r="A90" s="3">
        <v>45410.589977685187</v>
      </c>
      <c r="B90" s="4" t="s">
        <v>27</v>
      </c>
      <c r="G90" s="4">
        <v>10</v>
      </c>
      <c r="L90" s="4" t="s">
        <v>36</v>
      </c>
      <c r="S90" s="4" t="s">
        <v>293</v>
      </c>
      <c r="T90" s="4" t="s">
        <v>129</v>
      </c>
      <c r="U90" s="5" t="s">
        <v>130</v>
      </c>
      <c r="V90" s="4" t="s">
        <v>45</v>
      </c>
      <c r="W90" s="4" t="s">
        <v>46</v>
      </c>
      <c r="Y90" s="4" t="s">
        <v>78</v>
      </c>
    </row>
    <row r="91" spans="1:28" ht="12.5" x14ac:dyDescent="0.25">
      <c r="A91" s="3">
        <v>45410.59944701389</v>
      </c>
      <c r="B91" s="4" t="s">
        <v>27</v>
      </c>
      <c r="C91" s="4">
        <v>4</v>
      </c>
      <c r="G91" s="4">
        <v>1</v>
      </c>
      <c r="H91" s="4">
        <v>1</v>
      </c>
      <c r="J91" s="4">
        <v>1</v>
      </c>
      <c r="L91" s="4" t="s">
        <v>36</v>
      </c>
      <c r="O91" s="4">
        <v>3</v>
      </c>
      <c r="P91" s="4">
        <v>1</v>
      </c>
      <c r="S91" s="4" t="s">
        <v>294</v>
      </c>
      <c r="T91" s="4" t="s">
        <v>295</v>
      </c>
      <c r="U91" s="5" t="s">
        <v>296</v>
      </c>
      <c r="V91" s="4" t="s">
        <v>45</v>
      </c>
      <c r="W91" s="4" t="s">
        <v>32</v>
      </c>
      <c r="X91" s="4">
        <v>49542</v>
      </c>
      <c r="Y91" s="4" t="s">
        <v>34</v>
      </c>
      <c r="Z91" s="4" t="s">
        <v>294</v>
      </c>
      <c r="AA91" s="4" t="s">
        <v>297</v>
      </c>
      <c r="AB91" s="4" t="s">
        <v>298</v>
      </c>
    </row>
    <row r="92" spans="1:28" ht="12.5" x14ac:dyDescent="0.25">
      <c r="A92" s="3">
        <v>45410.601859224538</v>
      </c>
      <c r="B92" s="4" t="s">
        <v>27</v>
      </c>
      <c r="H92" s="4">
        <v>1</v>
      </c>
      <c r="L92" s="4" t="s">
        <v>36</v>
      </c>
      <c r="O92" s="4">
        <v>2</v>
      </c>
      <c r="S92" s="4" t="s">
        <v>128</v>
      </c>
      <c r="T92" s="4" t="s">
        <v>129</v>
      </c>
      <c r="U92" s="5" t="s">
        <v>130</v>
      </c>
      <c r="V92" s="4" t="s">
        <v>31</v>
      </c>
      <c r="W92" s="4" t="s">
        <v>46</v>
      </c>
      <c r="Y92" s="4" t="s">
        <v>47</v>
      </c>
      <c r="AB92" s="4" t="s">
        <v>299</v>
      </c>
    </row>
    <row r="93" spans="1:28" ht="12.5" x14ac:dyDescent="0.25">
      <c r="A93" s="3">
        <v>45410.60554989583</v>
      </c>
      <c r="B93" s="4" t="s">
        <v>27</v>
      </c>
      <c r="C93" s="4">
        <v>1</v>
      </c>
      <c r="D93" s="4">
        <v>1</v>
      </c>
      <c r="E93" s="4">
        <v>2</v>
      </c>
      <c r="F93" s="4">
        <v>2</v>
      </c>
      <c r="H93" s="4">
        <v>1</v>
      </c>
      <c r="I93" s="4">
        <v>25</v>
      </c>
      <c r="J93" s="4">
        <v>15</v>
      </c>
      <c r="L93" s="4" t="s">
        <v>36</v>
      </c>
      <c r="O93" s="4">
        <v>2</v>
      </c>
      <c r="S93" s="4" t="s">
        <v>300</v>
      </c>
      <c r="T93" s="4" t="s">
        <v>129</v>
      </c>
      <c r="U93" s="5" t="s">
        <v>130</v>
      </c>
      <c r="V93" s="4" t="s">
        <v>31</v>
      </c>
      <c r="W93" s="4" t="s">
        <v>46</v>
      </c>
      <c r="Y93" s="4" t="s">
        <v>47</v>
      </c>
      <c r="AB93" s="4" t="s">
        <v>299</v>
      </c>
    </row>
    <row r="94" spans="1:28" ht="12.5" x14ac:dyDescent="0.25">
      <c r="C94" s="7">
        <f>SUM(C14:C93)</f>
        <v>31</v>
      </c>
      <c r="D94" s="7">
        <f t="shared" ref="D94:K94" si="0">SUM(D1:D93)</f>
        <v>22</v>
      </c>
      <c r="E94" s="7">
        <f t="shared" si="0"/>
        <v>11</v>
      </c>
      <c r="F94" s="7">
        <f t="shared" si="0"/>
        <v>19</v>
      </c>
      <c r="G94" s="7">
        <f t="shared" si="0"/>
        <v>26</v>
      </c>
      <c r="H94" s="7">
        <f t="shared" si="0"/>
        <v>31</v>
      </c>
      <c r="I94" s="7">
        <f t="shared" si="0"/>
        <v>68</v>
      </c>
      <c r="J94" s="7">
        <f t="shared" si="0"/>
        <v>30</v>
      </c>
      <c r="K94" s="7">
        <f t="shared" si="0"/>
        <v>12</v>
      </c>
      <c r="M94" s="7">
        <f t="shared" ref="M94:R94" si="1">SUM(M1:M93)</f>
        <v>27</v>
      </c>
      <c r="N94" s="7">
        <f t="shared" si="1"/>
        <v>41</v>
      </c>
      <c r="O94" s="7">
        <f t="shared" si="1"/>
        <v>13</v>
      </c>
      <c r="P94" s="7">
        <f t="shared" si="1"/>
        <v>3</v>
      </c>
      <c r="Q94" s="7">
        <f t="shared" si="1"/>
        <v>20</v>
      </c>
      <c r="R94" s="7">
        <f t="shared" si="1"/>
        <v>48</v>
      </c>
    </row>
    <row r="95" spans="1:28" ht="12.5" x14ac:dyDescent="0.25">
      <c r="A95" s="4" t="s">
        <v>301</v>
      </c>
      <c r="B95" s="4">
        <v>132</v>
      </c>
    </row>
    <row r="96" spans="1:28" ht="12.5" x14ac:dyDescent="0.25">
      <c r="A96" s="4" t="s">
        <v>302</v>
      </c>
      <c r="B96" s="4">
        <v>53</v>
      </c>
    </row>
    <row r="97" spans="1:2" ht="12.5" x14ac:dyDescent="0.25">
      <c r="A97" s="4" t="s">
        <v>303</v>
      </c>
      <c r="B97" s="4">
        <v>47</v>
      </c>
    </row>
    <row r="98" spans="1:2" ht="12.5" x14ac:dyDescent="0.25">
      <c r="A98" s="4" t="s">
        <v>304</v>
      </c>
      <c r="B98" s="4">
        <v>167</v>
      </c>
    </row>
    <row r="99" spans="1:2" ht="12.5" x14ac:dyDescent="0.25">
      <c r="A99" s="4" t="s">
        <v>305</v>
      </c>
      <c r="B99" s="4">
        <v>130</v>
      </c>
    </row>
    <row r="100" spans="1:2" ht="12.5" x14ac:dyDescent="0.25">
      <c r="A100" s="4" t="s">
        <v>306</v>
      </c>
      <c r="B100" s="4">
        <v>92</v>
      </c>
    </row>
    <row r="101" spans="1:2" ht="12.5" x14ac:dyDescent="0.25">
      <c r="A101" s="4" t="s">
        <v>307</v>
      </c>
      <c r="B101" s="4">
        <v>12</v>
      </c>
    </row>
    <row r="102" spans="1:2" ht="12.5" x14ac:dyDescent="0.25">
      <c r="A102" s="4" t="s">
        <v>308</v>
      </c>
      <c r="B102" s="4">
        <v>27</v>
      </c>
    </row>
    <row r="103" spans="1:2" ht="12.5" x14ac:dyDescent="0.25">
      <c r="A103" s="4" t="s">
        <v>309</v>
      </c>
      <c r="B103" s="4">
        <v>41</v>
      </c>
    </row>
    <row r="104" spans="1:2" ht="12.5" x14ac:dyDescent="0.25">
      <c r="A104" s="4" t="s">
        <v>310</v>
      </c>
      <c r="B104" s="4">
        <v>20</v>
      </c>
    </row>
  </sheetData>
  <phoneticPr fontId="2" type="noConversion"/>
  <hyperlinks>
    <hyperlink ref="T46" r:id="rId1"/>
    <hyperlink ref="T44" r:id="rId2"/>
    <hyperlink ref="T82" r:id="rId3"/>
  </hyperlinks>
  <pageMargins left="0.7" right="0.7" top="0.75" bottom="0.75" header="0.3" footer="0.3"/>
  <pageSetup paperSize="9" orientation="portrait" horizontalDpi="4294967292" verticalDpi="12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表單回應1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余曉雯</cp:lastModifiedBy>
  <dcterms:modified xsi:type="dcterms:W3CDTF">2024-12-02T04:07:21Z</dcterms:modified>
</cp:coreProperties>
</file>