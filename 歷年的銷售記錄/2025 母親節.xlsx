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小文文\募資\訂單\2025\母親節\"/>
    </mc:Choice>
  </mc:AlternateContent>
  <bookViews>
    <workbookView xWindow="0" yWindow="0" windowWidth="19180" windowHeight="6970" activeTab="2"/>
  </bookViews>
  <sheets>
    <sheet name="表單回應 1" sheetId="1" r:id="rId1"/>
    <sheet name="工作檔" sheetId="2" r:id="rId2"/>
    <sheet name="暨大自取" sheetId="3" r:id="rId3"/>
    <sheet name="曉雯老師面交" sheetId="4" r:id="rId4"/>
    <sheet name="小川自取" sheetId="5" r:id="rId5"/>
    <sheet name="郵寄" sheetId="6" r:id="rId6"/>
    <sheet name="待確認" sheetId="7" r:id="rId7"/>
  </sheets>
  <calcPr calcId="162913"/>
  <extLst>
    <ext uri="GoogleSheetsCustomDataVersion2">
      <go:sheetsCustomData xmlns:go="http://customooxmlschemas.google.com/" r:id="rId11" roundtripDataChecksum="sw4uFTyrECP1kXDt1N2IsKFqqEvTaS1DVWSu/R/KDLI="/>
    </ext>
  </extLst>
</workbook>
</file>

<file path=xl/calcChain.xml><?xml version="1.0" encoding="utf-8"?>
<calcChain xmlns="http://schemas.openxmlformats.org/spreadsheetml/2006/main">
  <c r="B90" i="2" l="1"/>
  <c r="B86" i="2"/>
  <c r="B83" i="2"/>
  <c r="D79" i="2"/>
  <c r="Y74" i="2"/>
  <c r="B91" i="2" s="1"/>
  <c r="X74" i="2"/>
  <c r="W74" i="2"/>
  <c r="V74" i="2"/>
  <c r="B80" i="2" s="1"/>
  <c r="U74" i="2"/>
  <c r="T74" i="2"/>
  <c r="B89" i="2" s="1"/>
  <c r="S74" i="2"/>
  <c r="R74" i="2"/>
  <c r="B88" i="2" s="1"/>
  <c r="Q74" i="2"/>
  <c r="B87" i="2" s="1"/>
  <c r="P74" i="2"/>
  <c r="D80" i="2" s="1"/>
  <c r="O74" i="2"/>
  <c r="N74" i="2"/>
  <c r="M74" i="2"/>
  <c r="B85" i="2" s="1"/>
  <c r="L74" i="2"/>
  <c r="B84" i="2" s="1"/>
  <c r="K74" i="2"/>
  <c r="J74" i="2"/>
  <c r="J76" i="2" s="1"/>
  <c r="I74" i="2"/>
  <c r="H74" i="2"/>
  <c r="G74" i="2"/>
  <c r="F74" i="2"/>
  <c r="E74" i="2"/>
  <c r="E76" i="2" s="1"/>
  <c r="B82" i="2" s="1"/>
  <c r="D74" i="2"/>
  <c r="B81" i="2" s="1"/>
  <c r="B79" i="2" l="1"/>
</calcChain>
</file>

<file path=xl/sharedStrings.xml><?xml version="1.0" encoding="utf-8"?>
<sst xmlns="http://schemas.openxmlformats.org/spreadsheetml/2006/main" count="1981" uniqueCount="347">
  <si>
    <t>時間戳記</t>
  </si>
  <si>
    <t>選擇購買</t>
  </si>
  <si>
    <t>組合1 : 百搭香醇黃豆拌醬+法式藍莓果醬+薰衣草蘋果醬</t>
  </si>
  <si>
    <t>組合2 : 3選2(百搭香醇黃豆拌醬、法式藍莓果醬、薰衣草蘋果醬)+1手工皂</t>
  </si>
  <si>
    <t>組合3 : 3手工皂</t>
  </si>
  <si>
    <t>【加購】桑椹法式軟糖(10顆):120元</t>
  </si>
  <si>
    <t>【加購】桑椹果醬 (110 ml):100元</t>
  </si>
  <si>
    <t>【加購】草莓果醬 (110 ml) (限量) :150元</t>
  </si>
  <si>
    <t>【加購】薰衣草香膏 (10 ml) :80元</t>
  </si>
  <si>
    <t xml:space="preserve">需不需要卡片                                                     </t>
  </si>
  <si>
    <t>*  請在下方直接填寫您要的數量</t>
  </si>
  <si>
    <t>【單購】有機玫瑰護膚霜  (40 ml)  : 350元/罐</t>
  </si>
  <si>
    <t>【單購】有機金盞花護膚霜 (40 ml)   : 350元/罐</t>
  </si>
  <si>
    <t>【單購】 手工皂 : 200元/ 個</t>
  </si>
  <si>
    <t>【單購】洗頭皂: 250元/ 個</t>
  </si>
  <si>
    <t>【單購】百搭香醇黃豆拌醬:200元/罐</t>
  </si>
  <si>
    <t>【單購】法式藍莓果醬:200元/罐</t>
  </si>
  <si>
    <t>【單購】薰衣草蘋果醬:200元/罐</t>
  </si>
  <si>
    <t xml:space="preserve">【單購】(已售完)雪Q餅(抹茶堅果綜合口味)(9塊/盒)(限量10盒、限暨大與面交取貨):200/盒 </t>
  </si>
  <si>
    <t>您的姓名</t>
  </si>
  <si>
    <t>電子郵件地址（請一定要填，否則會收不到確認郵件。請填寫正確且是有在使用的帳號哦）</t>
  </si>
  <si>
    <t>連絡電話</t>
  </si>
  <si>
    <t xml:space="preserve">您曾經以何種方式支持 Jam for Love? </t>
  </si>
  <si>
    <t>付款方式</t>
  </si>
  <si>
    <t>如果使用匯款交易，請填寫欲使用之金融機構帳號後5碼 (僅提供我們作為核對用途)</t>
  </si>
  <si>
    <t>取貨方式</t>
  </si>
  <si>
    <t>收件人</t>
  </si>
  <si>
    <t>收件地址（含郵遞區號，請寫5或6碼)</t>
  </si>
  <si>
    <t>【加購】藍莓果凍 (110 ml) :60元</t>
  </si>
  <si>
    <t>【單購】 (已售完)雪Q餅(奶香蔓越莓口味)(9塊/盒)(限量10盒、限暨大與面交取貨):200/盒</t>
  </si>
  <si>
    <t>備註</t>
  </si>
  <si>
    <t>[組合2：三選二品項]</t>
  </si>
  <si>
    <t>【單購】抹茶雪Q餅(9塊/盒)(限量、暨大與面交取貨):200/盒</t>
  </si>
  <si>
    <t>組合商品(仍可加購單品)</t>
  </si>
  <si>
    <t>百搭香醇黃豆拌醬×2</t>
  </si>
  <si>
    <t>不需要</t>
  </si>
  <si>
    <t>蔡德鍵</t>
  </si>
  <si>
    <t>pipakuih@gmail.com</t>
  </si>
  <si>
    <t>0908900582</t>
  </si>
  <si>
    <t>我是第一次購買 Jam for Love 的產品</t>
  </si>
  <si>
    <t>現金交易</t>
  </si>
  <si>
    <t>台大與曉雯老師面交</t>
  </si>
  <si>
    <t>百搭香醇黃豆拌醬、法式藍莓果醬</t>
  </si>
  <si>
    <t>需要</t>
  </si>
  <si>
    <t>陳瑢真</t>
  </si>
  <si>
    <t>jccsato2015@gmail.com</t>
  </si>
  <si>
    <t>0920051475</t>
  </si>
  <si>
    <t>曾經購買 Jam for Love 的產品 (可享 9 折優惠！)</t>
  </si>
  <si>
    <t>張瑞娟</t>
  </si>
  <si>
    <t>jcchang0330@gmail.com</t>
  </si>
  <si>
    <t>0911105897</t>
  </si>
  <si>
    <t>匯款交易</t>
  </si>
  <si>
    <t>郵寄到家（未滿 $1000 運費 65；郵寄同一地址訂購 $1000 以上免運費) (5/4- 5/10)</t>
  </si>
  <si>
    <t>412214台中市大里區大明路141巷5號5樓</t>
  </si>
  <si>
    <t>程秀華</t>
  </si>
  <si>
    <t>ch0920637466@gmail.com</t>
  </si>
  <si>
    <t>0920637466</t>
  </si>
  <si>
    <t>114042臺北市內湖區康寧路3段189巷73弄1號2樓</t>
  </si>
  <si>
    <t>周君芳</t>
  </si>
  <si>
    <t>cfchou@mail.ncnu.edu.tw</t>
  </si>
  <si>
    <t>0955224863</t>
  </si>
  <si>
    <t>05/08 (四) 12:00 - 13:00 暨大人文學院國比系辦</t>
  </si>
  <si>
    <t>陳以真</t>
  </si>
  <si>
    <t>janechengs8888@gmail.com</t>
  </si>
  <si>
    <t>0905064908</t>
  </si>
  <si>
    <t>現為 Jam for Love 的成員 (可享 65 折優惠！)</t>
  </si>
  <si>
    <t>05/07 (三) 12:00 - 13:00 暨大人文學院國比系辦</t>
  </si>
  <si>
    <t>林雅凰</t>
  </si>
  <si>
    <t>yahuanglin000@gmail.com</t>
  </si>
  <si>
    <t>0965185316</t>
  </si>
  <si>
    <t>行動卡號末五碼為92889 (存摺帳號末五碼為01161）</t>
  </si>
  <si>
    <t>單品(將直接前往單品選項)</t>
  </si>
  <si>
    <t>洪小萍</t>
  </si>
  <si>
    <t>hphung.taiwan@gmail.com</t>
  </si>
  <si>
    <t>0926195866</t>
  </si>
  <si>
    <t>顧玉玲</t>
  </si>
  <si>
    <t>yulingku@gmail.com</t>
  </si>
  <si>
    <t>0933169516</t>
  </si>
  <si>
    <t>33453桃園市八德區長興路103號15樓</t>
  </si>
  <si>
    <t>邱振豪</t>
  </si>
  <si>
    <t>chenhao.ntu@gmail.com</t>
  </si>
  <si>
    <t>0937140306</t>
  </si>
  <si>
    <t>陳小芬</t>
  </si>
  <si>
    <t>jessicafen@gmail.com</t>
  </si>
  <si>
    <t>0920720520</t>
  </si>
  <si>
    <t>謝佩珊</t>
  </si>
  <si>
    <t>xiep076@gmail.com</t>
  </si>
  <si>
    <t>0906940492</t>
  </si>
  <si>
    <t>2組 ( 法式藍莓果醬、薰衣草蘋果醬)</t>
  </si>
  <si>
    <t>謝舒凱</t>
  </si>
  <si>
    <t>shukai@gmail.com</t>
  </si>
  <si>
    <t>0922727359</t>
  </si>
  <si>
    <t>6 組 （藍莓，蘋果）</t>
  </si>
  <si>
    <t>任家鋆</t>
  </si>
  <si>
    <t>tr.justinjen@gmail.com</t>
  </si>
  <si>
    <t>0966591038</t>
  </si>
  <si>
    <t>06819</t>
  </si>
  <si>
    <t>陳麗美</t>
  </si>
  <si>
    <t>333010 桃園市龜山區文化三路97號11樓之一</t>
  </si>
  <si>
    <t>陳祈安</t>
  </si>
  <si>
    <t>angelmarch013@gmail.com</t>
  </si>
  <si>
    <t>0966308960</t>
  </si>
  <si>
    <t>游淑芬</t>
  </si>
  <si>
    <t>sufen.abula@gmail.com</t>
  </si>
  <si>
    <t>0920638759</t>
  </si>
  <si>
    <t>百搭黃豆拌醬1+藍莓果醬1+手工皂1</t>
  </si>
  <si>
    <t>李金蓮</t>
  </si>
  <si>
    <t>lotus587444@gmail.com</t>
  </si>
  <si>
    <t>0952934212</t>
  </si>
  <si>
    <t>23654新北市土城區青雲路587巷44號4樓</t>
  </si>
  <si>
    <t>李承恩</t>
  </si>
  <si>
    <t>s113402029@mail1.ncnu.edu.tw</t>
  </si>
  <si>
    <t>0937543106</t>
  </si>
  <si>
    <t>林琬儀</t>
  </si>
  <si>
    <t>pink2003929906@gmail.com</t>
  </si>
  <si>
    <t>0970285655</t>
  </si>
  <si>
    <t>王心為</t>
  </si>
  <si>
    <t>clairell81@hotmail.com</t>
  </si>
  <si>
    <t>0938250339</t>
  </si>
  <si>
    <t>鄭庭鈞</t>
  </si>
  <si>
    <t>jim870106@gmail.com</t>
  </si>
  <si>
    <t>0966509283</t>
  </si>
  <si>
    <t>林佑珍</t>
  </si>
  <si>
    <t>linyuchen421@gmail.com</t>
  </si>
  <si>
    <t>0977192421</t>
  </si>
  <si>
    <t>李慧琪</t>
  </si>
  <si>
    <t>leechi12310@gmail.com</t>
  </si>
  <si>
    <t>0912752060</t>
  </si>
  <si>
    <t>42041台中市豐原區瑞興路50-2號5樓-1</t>
  </si>
  <si>
    <t>藍莓果醬+2+手工皂</t>
  </si>
  <si>
    <t>黃千</t>
  </si>
  <si>
    <t>mimimia2012@gmail.com</t>
  </si>
  <si>
    <t>0922785673</t>
  </si>
  <si>
    <t>宜蘭與曉雯老師面交</t>
  </si>
  <si>
    <t>楊乙玲</t>
  </si>
  <si>
    <t>yyltaiwan@gmail.com</t>
  </si>
  <si>
    <t>0963268993</t>
  </si>
  <si>
    <t>813高雄市左營區海功路55號</t>
  </si>
  <si>
    <t>謝謝</t>
  </si>
  <si>
    <t>1組  法式藍莓果醬、薰衣草蘋果醬+1手工皂</t>
  </si>
  <si>
    <t>馮正萱</t>
  </si>
  <si>
    <t>summerice0726@gmail.com</t>
  </si>
  <si>
    <t>0956806099</t>
  </si>
  <si>
    <t>曾經為 Jam for Love 的成員 (可享 85 折優惠！)</t>
  </si>
  <si>
    <t>300077新竹市北區士林里東大路二段709號</t>
  </si>
  <si>
    <t>我也是國比系畢業，應該是Jam for Love 的第一屆^^  感謝有你們~</t>
  </si>
  <si>
    <t>周明泉</t>
  </si>
  <si>
    <t>mingchuanchou@gmail.com</t>
  </si>
  <si>
    <t>0988977356</t>
  </si>
  <si>
    <t>32556桃園市龍潭區渴望一路266巷12號</t>
  </si>
  <si>
    <t>黃蘭惠</t>
  </si>
  <si>
    <t>peggy9862@gmail.com</t>
  </si>
  <si>
    <t>0939570308</t>
  </si>
  <si>
    <t>李玉姿</t>
  </si>
  <si>
    <t>rosannalyt@gmail.com</t>
  </si>
  <si>
    <t>0932796397</t>
  </si>
  <si>
    <t>百搭香醇黃豆拌醬、薰衣草蘋果醬</t>
  </si>
  <si>
    <t>何夏</t>
  </si>
  <si>
    <t>erichox@gmail.com</t>
  </si>
  <si>
    <t>0970254321</t>
  </si>
  <si>
    <t>33380桃園市龜山區文興路39號4樓</t>
  </si>
  <si>
    <t>1組 法式藍莓、薰衣草蘋果醬</t>
  </si>
  <si>
    <t>李永婷</t>
  </si>
  <si>
    <t>nina980327@gmail.com</t>
  </si>
  <si>
    <t>0921189303</t>
  </si>
  <si>
    <t>112013臺北市北投區文化三路80號7樓</t>
  </si>
  <si>
    <t>2組（百搭香醇黃豆拌醬、薰衣草蘋果醬）</t>
  </si>
  <si>
    <t>甄立仁</t>
  </si>
  <si>
    <t>a0910709966@gmail.com</t>
  </si>
  <si>
    <t>0981383731</t>
  </si>
  <si>
    <t>幫我把2份組合商品分別寄到以下2個地址：
408台中市南屯區惠中路三段98號
（大墩國中 徐秀青校長收）
402台中市南區忠明南路1278號
（林泰池老師收）
剩下加購商品及單品 我再去系辦取貨及繳費，謝謝你們🙏辛苦了</t>
  </si>
  <si>
    <t>黃豆拌醬*2</t>
  </si>
  <si>
    <t>吳淑瑞</t>
  </si>
  <si>
    <t>rey0236@gmail.com</t>
  </si>
  <si>
    <t>0920924003</t>
  </si>
  <si>
    <t>彰化縣和美鎮糖友里糖友二街63巷51號</t>
  </si>
  <si>
    <t>香醇黃豆拌醬*2</t>
  </si>
  <si>
    <t>鄒育瑄</t>
  </si>
  <si>
    <t>s111402033@mail1.ncnu.edu.tw</t>
  </si>
  <si>
    <t>0905387482</t>
  </si>
  <si>
    <t>崔慈悌</t>
  </si>
  <si>
    <t>sweet326@ms51.hinet.net</t>
  </si>
  <si>
    <t>0911002309</t>
  </si>
  <si>
    <t>830高雄市鳳山區和德街37號7樓</t>
  </si>
  <si>
    <t>劉子瑄</t>
  </si>
  <si>
    <t>belle930329@gmail.com</t>
  </si>
  <si>
    <t>0936692206</t>
  </si>
  <si>
    <t>方琪雯</t>
  </si>
  <si>
    <t>fc8681655@gmail.com</t>
  </si>
  <si>
    <t>0979967562</t>
  </si>
  <si>
    <t>李宇凡</t>
  </si>
  <si>
    <t>yufanlin323@gmail.com</t>
  </si>
  <si>
    <t>0970776251</t>
  </si>
  <si>
    <t>2個謝謝</t>
  </si>
  <si>
    <t>黃怡慈</t>
  </si>
  <si>
    <t>s112106004@mail1.ncnu.edu.tw</t>
  </si>
  <si>
    <t>0916174806</t>
  </si>
  <si>
    <t>Jam for Love</t>
  </si>
  <si>
    <t>monofisch@gmail.com</t>
  </si>
  <si>
    <t>0922816212</t>
  </si>
  <si>
    <t>蘇聖涵</t>
  </si>
  <si>
    <t>shenghansu711@gmail.com</t>
  </si>
  <si>
    <t>0963258632</t>
  </si>
  <si>
    <t>03362</t>
  </si>
  <si>
    <t>300新竹市香山區華德福街160巷25號</t>
  </si>
  <si>
    <t>葉愛憫</t>
  </si>
  <si>
    <t>julovesabinna@gmail.com</t>
  </si>
  <si>
    <t>0921168386</t>
  </si>
  <si>
    <t>涂英雪</t>
  </si>
  <si>
    <t>judithtuwas@gmail.com</t>
  </si>
  <si>
    <t>0937431801</t>
  </si>
  <si>
    <t>434028 台中市龍井區沙田路五段321號8樓之2</t>
  </si>
  <si>
    <t>黃豆x2</t>
  </si>
  <si>
    <t>普羅</t>
  </si>
  <si>
    <t>ninayjt@gmail.com</t>
  </si>
  <si>
    <t>0953041522</t>
  </si>
  <si>
    <t>翁汝顗</t>
  </si>
  <si>
    <t>wengivy7777@gmail.com</t>
  </si>
  <si>
    <t>0935289687</t>
  </si>
  <si>
    <t>406034台中市北屯區崇德十六路178號9樓之1</t>
  </si>
  <si>
    <t>林汶萱</t>
  </si>
  <si>
    <t>sharon889980702@yahoo.com.tw</t>
  </si>
  <si>
    <t>0979810523</t>
  </si>
  <si>
    <t>林秀鳳</t>
  </si>
  <si>
    <t>900050 屏東市和生路一段842號</t>
  </si>
  <si>
    <t>李素月</t>
  </si>
  <si>
    <t>suehliyy@gmail.com</t>
  </si>
  <si>
    <t>0937158950</t>
  </si>
  <si>
    <t>郵局16669</t>
  </si>
  <si>
    <t>260011宜蘭市縣政北路3號</t>
  </si>
  <si>
    <t>百搭香醇黃豆拌醬*1+法式藍莓果醬*1</t>
  </si>
  <si>
    <t>方思評</t>
  </si>
  <si>
    <t>sihping.fang@gmail.com</t>
  </si>
  <si>
    <t>0912408175</t>
  </si>
  <si>
    <t>422001 台中市石岡區和盛街南眉巷128號</t>
  </si>
  <si>
    <t>陳倚萱</t>
  </si>
  <si>
    <t>b0900335462@gmail.com</t>
  </si>
  <si>
    <t>0906685963</t>
  </si>
  <si>
    <t>李思璇</t>
  </si>
  <si>
    <t>artemis219@hotmail.com</t>
  </si>
  <si>
    <t>0922958345</t>
  </si>
  <si>
    <t>00915</t>
  </si>
  <si>
    <t>張玉貞</t>
  </si>
  <si>
    <t xml:space="preserve">新北市土城區學海街316號9樓 </t>
  </si>
  <si>
    <t>黃豆醬+法式藍莓果醬+手工皂*1</t>
  </si>
  <si>
    <t>陳慧萍</t>
  </si>
  <si>
    <t>viviensecure@gmail.com</t>
  </si>
  <si>
    <t>0922031617</t>
  </si>
  <si>
    <t>420084台中市豐原區北陽一街37號</t>
  </si>
  <si>
    <t>法式藍莓果醬*2</t>
  </si>
  <si>
    <t>謝心默</t>
  </si>
  <si>
    <t>nomofika@gmail.com</t>
  </si>
  <si>
    <t>0907349025</t>
  </si>
  <si>
    <t>夏璽明</t>
  </si>
  <si>
    <t>ximing0521@outlook.com</t>
  </si>
  <si>
    <t>0972805365</t>
  </si>
  <si>
    <t>421 臺中市后里區甲后路一段36巷39弄6號</t>
  </si>
  <si>
    <t>請再來信告訴我匯款的帳號和總共的金額，謝謝！方便用小紙袋幫我裝成7份嗎？</t>
  </si>
  <si>
    <t>百搭香醇黃豆拌醬*7。法式藍莓果醬*7。</t>
  </si>
  <si>
    <t>林又萱</t>
  </si>
  <si>
    <t>s0909386347@gmail.com</t>
  </si>
  <si>
    <t>0909386347</t>
  </si>
  <si>
    <t>田長怡</t>
  </si>
  <si>
    <t>a6838916@gmail.com</t>
  </si>
  <si>
    <t>0920250307</t>
  </si>
  <si>
    <t>百搭香醇黃豆拌醬*1、法式藍莓果醬*1</t>
  </si>
  <si>
    <t>梁芳瑜</t>
  </si>
  <si>
    <t>fish15983@gmail.com</t>
  </si>
  <si>
    <t>0919480262</t>
  </si>
  <si>
    <t>黃意淳</t>
  </si>
  <si>
    <t>yitsun66@gmail.com</t>
  </si>
  <si>
    <t>0987127568</t>
  </si>
  <si>
    <t>403 台中市西區大忠南街3號7F之5</t>
  </si>
  <si>
    <t>高滇玲</t>
  </si>
  <si>
    <t>kaoashley@gmail.com</t>
  </si>
  <si>
    <t>張媚雅</t>
  </si>
  <si>
    <t>meiyaahooo@gmail.com</t>
  </si>
  <si>
    <t>0987001520</t>
  </si>
  <si>
    <t>需提早在4/28那週領貨</t>
  </si>
  <si>
    <t>林承龍</t>
  </si>
  <si>
    <t>naturee@ms39.hinet.net</t>
  </si>
  <si>
    <t>0918209443</t>
  </si>
  <si>
    <t>244248 新北市林口區文化二路二段110巷9-1號4樓</t>
  </si>
  <si>
    <t>不好意思，分兩筆匯款：第1次675、第2次450，共1125，請幫忙合併</t>
  </si>
  <si>
    <t>呂佳蓉</t>
  </si>
  <si>
    <t>chiarung@gmail.com</t>
  </si>
  <si>
    <t>0987049855</t>
  </si>
  <si>
    <t>03931</t>
  </si>
  <si>
    <t>辛苦了！很期待果醬還有黃豆醬！</t>
  </si>
  <si>
    <t>陳怡廷</t>
  </si>
  <si>
    <t>et00064@gmail.com</t>
  </si>
  <si>
    <t>0928987532</t>
  </si>
  <si>
    <t>54045南投縣南投市營中路237巷38號</t>
  </si>
  <si>
    <t>范晉維</t>
  </si>
  <si>
    <t>funtb1112@gmail.com</t>
  </si>
  <si>
    <t>0952722733</t>
  </si>
  <si>
    <t>807071高雄市三民區鼎泰里明愛街51號四樓</t>
  </si>
  <si>
    <t>余曉雯</t>
  </si>
  <si>
    <t>余曉鳳</t>
  </si>
  <si>
    <t>黃豆x5、蘋果x5</t>
  </si>
  <si>
    <t>+2</t>
  </si>
  <si>
    <t>+3</t>
  </si>
  <si>
    <t>李小菁</t>
  </si>
  <si>
    <t>siaojing1201@gmail.com</t>
  </si>
  <si>
    <t>0911007101</t>
  </si>
  <si>
    <t>不需折扣，捐出折扣💖</t>
  </si>
  <si>
    <t>行動卡號末五碼為92889 (存摺帳號末五碼為01161)</t>
  </si>
  <si>
    <t>需要10份團隊介紹！（要送人的</t>
  </si>
  <si>
    <t>羅淑君</t>
  </si>
  <si>
    <t>sclo@ncnu.edu.tw</t>
  </si>
  <si>
    <t>0912325498</t>
  </si>
  <si>
    <t>1.黃豆拌醬</t>
  </si>
  <si>
    <t>2.藍莓果醬</t>
  </si>
  <si>
    <t>3.薰衣草蘋果醬</t>
  </si>
  <si>
    <t>母親節卡</t>
  </si>
  <si>
    <t>感恩卡</t>
  </si>
  <si>
    <t>小計</t>
  </si>
  <si>
    <t>組合2手工皂總數：</t>
  </si>
  <si>
    <t>組合3手工皂總數：</t>
  </si>
  <si>
    <t>商品</t>
  </si>
  <si>
    <t>總數</t>
  </si>
  <si>
    <t>卡片</t>
  </si>
  <si>
    <t>黃豆拌醬</t>
  </si>
  <si>
    <t>藍莓果醬</t>
  </si>
  <si>
    <t>薰衣草蘋果醬</t>
  </si>
  <si>
    <t>團隊說明</t>
  </si>
  <si>
    <t>手工皂</t>
  </si>
  <si>
    <t>桑葚果醬</t>
  </si>
  <si>
    <t>草莓果醬</t>
  </si>
  <si>
    <t>薰衣草香膏</t>
  </si>
  <si>
    <t>藍莓果凍</t>
  </si>
  <si>
    <t>玫瑰護膚霜</t>
  </si>
  <si>
    <t>金盞花護膚霜</t>
  </si>
  <si>
    <t>洗頭皂</t>
  </si>
  <si>
    <t>抹茶堅果雪Q餅</t>
  </si>
  <si>
    <t>蔓越莓雪Q餅</t>
  </si>
  <si>
    <t>jim870106@gmail.com</t>
    <phoneticPr fontId="6" type="noConversion"/>
  </si>
  <si>
    <t>yufanlin323@gmail.com</t>
    <phoneticPr fontId="6" type="noConversion"/>
  </si>
  <si>
    <t>pipakuih@gmail.com</t>
    <phoneticPr fontId="6" type="noConversion"/>
  </si>
  <si>
    <t>a6838916@gmail.com</t>
    <phoneticPr fontId="6" type="noConversion"/>
  </si>
  <si>
    <t>julovesabinna@gmail.com</t>
    <phoneticPr fontId="6" type="noConversion"/>
  </si>
  <si>
    <t>yitsun66@gmail.com</t>
    <phoneticPr fontId="6" type="noConversion"/>
  </si>
  <si>
    <t>0987127568</t>
    <phoneticPr fontId="6" type="noConversion"/>
  </si>
  <si>
    <r>
      <rPr>
        <sz val="10"/>
        <color rgb="FFFF0000"/>
        <rFont val="細明體"/>
        <family val="3"/>
        <charset val="136"/>
      </rPr>
      <t>不好意思，分兩筆匯款：第</t>
    </r>
    <r>
      <rPr>
        <sz val="10"/>
        <color rgb="FFFF0000"/>
        <rFont val="Arial"/>
        <family val="2"/>
      </rPr>
      <t>1</t>
    </r>
    <r>
      <rPr>
        <sz val="10"/>
        <color rgb="FFFF0000"/>
        <rFont val="細明體"/>
        <family val="3"/>
        <charset val="136"/>
      </rPr>
      <t>次</t>
    </r>
    <r>
      <rPr>
        <sz val="10"/>
        <color rgb="FFFF0000"/>
        <rFont val="Arial"/>
        <family val="2"/>
      </rPr>
      <t>675</t>
    </r>
    <r>
      <rPr>
        <sz val="10"/>
        <color rgb="FFFF0000"/>
        <rFont val="細明體"/>
        <family val="3"/>
        <charset val="136"/>
      </rPr>
      <t>、第</t>
    </r>
    <r>
      <rPr>
        <sz val="10"/>
        <color rgb="FFFF0000"/>
        <rFont val="Arial"/>
        <family val="2"/>
      </rPr>
      <t>2</t>
    </r>
    <r>
      <rPr>
        <sz val="10"/>
        <color rgb="FFFF0000"/>
        <rFont val="細明體"/>
        <family val="3"/>
        <charset val="136"/>
      </rPr>
      <t>次</t>
    </r>
    <r>
      <rPr>
        <sz val="10"/>
        <color rgb="FFFF0000"/>
        <rFont val="Arial"/>
        <family val="2"/>
      </rPr>
      <t>450</t>
    </r>
    <r>
      <rPr>
        <sz val="10"/>
        <color rgb="FFFF0000"/>
        <rFont val="細明體"/>
        <family val="3"/>
        <charset val="136"/>
      </rPr>
      <t>，共</t>
    </r>
    <r>
      <rPr>
        <sz val="10"/>
        <color rgb="FFFF0000"/>
        <rFont val="Arial"/>
        <family val="2"/>
      </rPr>
      <t>1125</t>
    </r>
    <r>
      <rPr>
        <sz val="10"/>
        <color rgb="FFFF0000"/>
        <rFont val="細明體"/>
        <family val="3"/>
        <charset val="136"/>
      </rPr>
      <t>，請幫忙合併</t>
    </r>
    <phoneticPr fontId="6" type="noConversion"/>
  </si>
  <si>
    <r>
      <rPr>
        <sz val="10"/>
        <color rgb="FFFF0000"/>
        <rFont val="細明體"/>
        <family val="3"/>
        <charset val="136"/>
      </rPr>
      <t>請再來信告訴我匯款的帳號和總共的金額</t>
    </r>
    <r>
      <rPr>
        <sz val="10"/>
        <color theme="1"/>
        <rFont val="細明體"/>
        <family val="3"/>
        <charset val="136"/>
      </rPr>
      <t>，謝謝！方</t>
    </r>
    <r>
      <rPr>
        <sz val="10"/>
        <color rgb="FF00B0F0"/>
        <rFont val="細明體"/>
        <family val="3"/>
        <charset val="136"/>
      </rPr>
      <t>便用小紙袋幫我裝成</t>
    </r>
    <r>
      <rPr>
        <sz val="10"/>
        <color rgb="FF00B0F0"/>
        <rFont val="Arial"/>
        <family val="2"/>
      </rPr>
      <t>7</t>
    </r>
    <r>
      <rPr>
        <sz val="10"/>
        <color rgb="FF00B0F0"/>
        <rFont val="細明體"/>
        <family val="3"/>
        <charset val="136"/>
      </rPr>
      <t>份嗎？</t>
    </r>
    <phoneticPr fontId="6" type="noConversion"/>
  </si>
  <si>
    <r>
      <rPr>
        <sz val="10"/>
        <color rgb="FF00B0F0"/>
        <rFont val="細明體"/>
        <family val="3"/>
        <charset val="136"/>
      </rPr>
      <t>幫我把</t>
    </r>
    <r>
      <rPr>
        <sz val="10"/>
        <color rgb="FF00B0F0"/>
        <rFont val="Arial"/>
        <family val="2"/>
      </rPr>
      <t>2</t>
    </r>
    <r>
      <rPr>
        <sz val="10"/>
        <color rgb="FF00B0F0"/>
        <rFont val="細明體"/>
        <family val="3"/>
        <charset val="136"/>
      </rPr>
      <t>份組合商品分別寄到以下</t>
    </r>
    <r>
      <rPr>
        <sz val="10"/>
        <color rgb="FF00B0F0"/>
        <rFont val="Arial"/>
        <family val="2"/>
      </rPr>
      <t>2</t>
    </r>
    <r>
      <rPr>
        <sz val="10"/>
        <color rgb="FF00B0F0"/>
        <rFont val="細明體"/>
        <family val="3"/>
        <charset val="136"/>
      </rPr>
      <t>個地址：</t>
    </r>
    <r>
      <rPr>
        <sz val="10"/>
        <color theme="1"/>
        <rFont val="細明體"/>
        <family val="3"/>
        <charset val="136"/>
      </rPr>
      <t xml:space="preserve">
</t>
    </r>
    <r>
      <rPr>
        <sz val="10"/>
        <color theme="1"/>
        <rFont val="Arial"/>
        <family val="2"/>
      </rPr>
      <t>408</t>
    </r>
    <r>
      <rPr>
        <sz val="10"/>
        <color theme="1"/>
        <rFont val="細明體"/>
        <family val="3"/>
        <charset val="136"/>
      </rPr>
      <t>台中市南屯區惠中路三段</t>
    </r>
    <r>
      <rPr>
        <sz val="10"/>
        <color theme="1"/>
        <rFont val="Arial"/>
        <family val="2"/>
      </rPr>
      <t>98</t>
    </r>
    <r>
      <rPr>
        <sz val="10"/>
        <color theme="1"/>
        <rFont val="細明體"/>
        <family val="3"/>
        <charset val="136"/>
      </rPr>
      <t>號
（大墩國中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細明體"/>
        <family val="3"/>
        <charset val="136"/>
      </rPr>
      <t xml:space="preserve">徐秀青校長收）
</t>
    </r>
    <r>
      <rPr>
        <sz val="10"/>
        <color theme="1"/>
        <rFont val="Arial"/>
        <family val="2"/>
      </rPr>
      <t>402</t>
    </r>
    <r>
      <rPr>
        <sz val="10"/>
        <color theme="1"/>
        <rFont val="細明體"/>
        <family val="3"/>
        <charset val="136"/>
      </rPr>
      <t>台中市南區忠明南路</t>
    </r>
    <r>
      <rPr>
        <sz val="10"/>
        <color theme="1"/>
        <rFont val="Arial"/>
        <family val="2"/>
      </rPr>
      <t>1278</t>
    </r>
    <r>
      <rPr>
        <sz val="10"/>
        <color theme="1"/>
        <rFont val="細明體"/>
        <family val="3"/>
        <charset val="136"/>
      </rPr>
      <t>號
（林泰池老師收）
剩下加購商品及單品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細明體"/>
        <family val="3"/>
        <charset val="136"/>
      </rPr>
      <t>我再去系辦取貨及繳費，謝謝你們</t>
    </r>
    <r>
      <rPr>
        <sz val="10"/>
        <color theme="1"/>
        <rFont val="Arial"/>
        <family val="2"/>
      </rPr>
      <t>🙏</t>
    </r>
    <r>
      <rPr>
        <sz val="10"/>
        <color theme="1"/>
        <rFont val="細明體"/>
        <family val="3"/>
        <charset val="136"/>
      </rPr>
      <t>辛苦了</t>
    </r>
    <phoneticPr fontId="6" type="noConversion"/>
  </si>
  <si>
    <r>
      <rPr>
        <sz val="10"/>
        <color rgb="FF00B0F0"/>
        <rFont val="細明體"/>
        <family val="3"/>
        <charset val="136"/>
      </rPr>
      <t>需提早在</t>
    </r>
    <r>
      <rPr>
        <sz val="10"/>
        <color rgb="FF00B0F0"/>
        <rFont val="Arial"/>
        <family val="2"/>
      </rPr>
      <t>4/28</t>
    </r>
    <r>
      <rPr>
        <sz val="10"/>
        <color rgb="FF00B0F0"/>
        <rFont val="細明體"/>
        <family val="3"/>
        <charset val="136"/>
      </rPr>
      <t>那週領貨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</si>
</sst>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m/d/yyyy\ h:mm:ss"/>
  </numFmts>
  <fonts count="13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20"/>
      <color theme="1"/>
      <name val="Arial"/>
      <family val="2"/>
    </font>
    <font>
      <sz val="2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9"/>
      <name val="Arial"/>
      <family val="3"/>
      <charset val="136"/>
      <scheme val="minor"/>
    </font>
    <font>
      <u/>
      <sz val="10"/>
      <color theme="10"/>
      <name val="Arial"/>
      <family val="2"/>
      <scheme val="minor"/>
    </font>
    <font>
      <sz val="10"/>
      <color theme="1"/>
      <name val="細明體"/>
      <family val="3"/>
      <charset val="136"/>
    </font>
    <font>
      <sz val="10"/>
      <color rgb="FFFF0000"/>
      <name val="細明體"/>
      <family val="3"/>
      <charset val="136"/>
    </font>
    <font>
      <sz val="10"/>
      <color rgb="FFFF0000"/>
      <name val="Arial"/>
      <family val="2"/>
    </font>
    <font>
      <sz val="10"/>
      <color rgb="FF00B0F0"/>
      <name val="細明體"/>
      <family val="3"/>
      <charset val="136"/>
    </font>
    <font>
      <sz val="10"/>
      <color rgb="FF00B0F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8F9FA"/>
        <bgColor rgb="FFF8F9FA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</fills>
  <borders count="10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68">
    <xf numFmtId="0" fontId="0" fillId="0" borderId="0" xfId="0" applyFont="1" applyAlignment="1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76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2" fillId="0" borderId="0" xfId="0" applyFont="1"/>
    <xf numFmtId="0" fontId="1" fillId="0" borderId="5" xfId="0" quotePrefix="1" applyFont="1" applyBorder="1" applyAlignment="1">
      <alignment vertical="center"/>
    </xf>
    <xf numFmtId="176" fontId="1" fillId="0" borderId="6" xfId="0" applyNumberFormat="1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7" xfId="0" quotePrefix="1" applyFont="1" applyBorder="1" applyAlignment="1">
      <alignment vertical="center"/>
    </xf>
    <xf numFmtId="176" fontId="1" fillId="0" borderId="8" xfId="0" applyNumberFormat="1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9" xfId="0" quotePrefix="1" applyFont="1" applyBorder="1" applyAlignment="1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2" fillId="0" borderId="5" xfId="0" applyFont="1" applyBorder="1"/>
    <xf numFmtId="0" fontId="2" fillId="0" borderId="7" xfId="0" applyFont="1" applyBorder="1"/>
    <xf numFmtId="0" fontId="1" fillId="0" borderId="0" xfId="0" applyFont="1" applyAlignment="1">
      <alignment vertical="center"/>
    </xf>
    <xf numFmtId="0" fontId="2" fillId="0" borderId="0" xfId="0" applyFont="1" applyAlignment="1"/>
    <xf numFmtId="0" fontId="1" fillId="4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2" fillId="0" borderId="0" xfId="0" applyFont="1" applyAlignment="1"/>
    <xf numFmtId="0" fontId="1" fillId="6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0" borderId="0" xfId="0" quotePrefix="1" applyFont="1" applyAlignment="1">
      <alignment vertical="center"/>
    </xf>
    <xf numFmtId="0" fontId="1" fillId="7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10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4" fillId="10" borderId="0" xfId="0" applyFont="1" applyFill="1"/>
    <xf numFmtId="0" fontId="2" fillId="10" borderId="0" xfId="0" applyFont="1" applyFill="1"/>
    <xf numFmtId="0" fontId="3" fillId="10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4" fillId="10" borderId="0" xfId="0" applyFont="1" applyFill="1"/>
    <xf numFmtId="0" fontId="2" fillId="10" borderId="0" xfId="0" applyFont="1" applyFill="1"/>
    <xf numFmtId="0" fontId="5" fillId="10" borderId="0" xfId="0" applyFont="1" applyFill="1"/>
    <xf numFmtId="0" fontId="1" fillId="0" borderId="0" xfId="0" applyFont="1" applyAlignment="1"/>
    <xf numFmtId="0" fontId="2" fillId="0" borderId="0" xfId="0" applyFont="1"/>
    <xf numFmtId="0" fontId="1" fillId="11" borderId="0" xfId="0" applyFont="1" applyFill="1" applyAlignment="1">
      <alignment horizontal="left" vertical="center"/>
    </xf>
    <xf numFmtId="0" fontId="1" fillId="11" borderId="0" xfId="0" applyFont="1" applyFill="1" applyAlignment="1">
      <alignment horizontal="left" vertical="center"/>
    </xf>
    <xf numFmtId="0" fontId="1" fillId="11" borderId="2" xfId="0" applyFont="1" applyFill="1" applyBorder="1" applyAlignment="1">
      <alignment horizontal="left" vertical="center"/>
    </xf>
    <xf numFmtId="0" fontId="1" fillId="11" borderId="0" xfId="0" applyFont="1" applyFill="1" applyAlignment="1">
      <alignment vertical="center"/>
    </xf>
    <xf numFmtId="0" fontId="2" fillId="11" borderId="0" xfId="0" applyFont="1" applyFill="1"/>
    <xf numFmtId="0" fontId="1" fillId="11" borderId="5" xfId="0" applyFont="1" applyFill="1" applyBorder="1" applyAlignment="1">
      <alignment vertical="center"/>
    </xf>
    <xf numFmtId="0" fontId="1" fillId="11" borderId="5" xfId="0" quotePrefix="1" applyFont="1" applyFill="1" applyBorder="1" applyAlignment="1">
      <alignment vertical="center"/>
    </xf>
    <xf numFmtId="0" fontId="1" fillId="11" borderId="7" xfId="0" applyFont="1" applyFill="1" applyBorder="1" applyAlignment="1">
      <alignment vertical="center"/>
    </xf>
    <xf numFmtId="0" fontId="1" fillId="11" borderId="7" xfId="0" quotePrefix="1" applyFont="1" applyFill="1" applyBorder="1" applyAlignment="1">
      <alignment vertical="center"/>
    </xf>
    <xf numFmtId="0" fontId="2" fillId="11" borderId="5" xfId="0" applyFont="1" applyFill="1" applyBorder="1"/>
    <xf numFmtId="0" fontId="2" fillId="11" borderId="7" xfId="0" applyFont="1" applyFill="1" applyBorder="1"/>
    <xf numFmtId="0" fontId="2" fillId="11" borderId="0" xfId="0" applyFont="1" applyFill="1" applyAlignment="1"/>
    <xf numFmtId="0" fontId="7" fillId="0" borderId="5" xfId="1" applyBorder="1" applyAlignment="1">
      <alignment vertical="center"/>
    </xf>
    <xf numFmtId="0" fontId="7" fillId="0" borderId="7" xfId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" fillId="11" borderId="0" xfId="0" applyFont="1" applyFill="1" applyAlignment="1">
      <alignment vertical="center" wrapText="1"/>
    </xf>
    <xf numFmtId="0" fontId="12" fillId="11" borderId="0" xfId="0" applyFont="1" applyFill="1" applyAlignment="1">
      <alignment vertical="center"/>
    </xf>
  </cellXfs>
  <cellStyles count="2">
    <cellStyle name="一般" xfId="0" builtinId="0"/>
    <cellStyle name="超連結" xfId="1" builtinId="8"/>
  </cellStyles>
  <dxfs count="29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1">
    <tableStyle name="表單回應 1-style" pivot="0" count="3">
      <tableStyleElement type="headerRow" dxfId="28"/>
      <tableStyleElement type="firstRowStripe" dxfId="27"/>
      <tableStyleElement type="secondRowStripe" dxfId="26"/>
    </tableStyle>
    <tableStyle name="工作檔-style" pivot="0" count="3">
      <tableStyleElement type="headerRow" dxfId="25"/>
      <tableStyleElement type="firstRowStripe" dxfId="24"/>
      <tableStyleElement type="secondRowStripe" dxfId="23"/>
    </tableStyle>
    <tableStyle name="暨大自取-style" pivot="0" count="3">
      <tableStyleElement type="headerRow" dxfId="22"/>
      <tableStyleElement type="firstRowStripe" dxfId="21"/>
      <tableStyleElement type="secondRowStripe" dxfId="20"/>
    </tableStyle>
    <tableStyle name="曉雯老師面交-style" pivot="0" count="3">
      <tableStyleElement type="headerRow" dxfId="19"/>
      <tableStyleElement type="firstRowStripe" dxfId="18"/>
      <tableStyleElement type="secondRowStripe" dxfId="17"/>
    </tableStyle>
    <tableStyle name="曉雯老師面交-style 2" pivot="0" count="2">
      <tableStyleElement type="firstRowStripe" dxfId="16"/>
      <tableStyleElement type="secondRowStripe" dxfId="15"/>
    </tableStyle>
    <tableStyle name="小川自取-style" pivot="0" count="3">
      <tableStyleElement type="headerRow" dxfId="14"/>
      <tableStyleElement type="firstRowStripe" dxfId="13"/>
      <tableStyleElement type="secondRowStripe" dxfId="12"/>
    </tableStyle>
    <tableStyle name="郵寄-style" pivot="0" count="3">
      <tableStyleElement type="headerRow" dxfId="11"/>
      <tableStyleElement type="firstRowStripe" dxfId="10"/>
      <tableStyleElement type="secondRowStripe" dxfId="9"/>
    </tableStyle>
    <tableStyle name="郵寄-style 2" pivot="0" count="2">
      <tableStyleElement type="firstRowStripe" dxfId="8"/>
      <tableStyleElement type="secondRowStripe" dxfId="7"/>
    </tableStyle>
    <tableStyle name="待確認-style" pivot="0" count="3">
      <tableStyleElement type="headerRow" dxfId="6"/>
      <tableStyleElement type="firstRowStripe" dxfId="5"/>
      <tableStyleElement type="secondRowStripe" dxfId="4"/>
    </tableStyle>
    <tableStyle name="待確認-style 2" pivot="0" count="2">
      <tableStyleElement type="firstRowStripe" dxfId="3"/>
      <tableStyleElement type="secondRowStripe" dxfId="2"/>
    </tableStyle>
    <tableStyle name="待確認-style 3" pivot="0" count="2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_1" displayName="Table_1" ref="A1:AH72" headerRowCount="0">
  <tableColumns count="34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  <tableColumn id="34" name="Column34"/>
  </tableColumns>
  <tableStyleInfo name="表單回應 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id="2" name="Table_2" displayName="Table_2" ref="A1:AG76" headerRowCount="0">
  <tableColumns count="33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</tableColumns>
  <tableStyleInfo name="工作檔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id="3" name="Table_3" displayName="Table_3" ref="A1:AG24" headerRowCount="0">
  <tableColumns count="33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</tableColumns>
  <tableStyleInfo name="暨大自取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id="4" name="Table_4" displayName="Table_4" ref="A1:AG1" headerRowCount="0">
  <tableColumns count="33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</tableColumns>
  <tableStyleInfo name="曉雯老師面交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id="5" name="Table_5" displayName="Table_5" ref="A2:AG22" headerRowCount="0">
  <tableColumns count="33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</tableColumns>
  <tableStyleInfo name="曉雯老師面交-style 2" showFirstColumn="1" showLastColumn="1" showRowStripes="1" showColumnStripes="0"/>
</table>
</file>

<file path=xl/tables/table6.xml><?xml version="1.0" encoding="utf-8"?>
<table xmlns="http://schemas.openxmlformats.org/spreadsheetml/2006/main" id="6" name="Table_6" displayName="Table_6" ref="A1:AG1" headerRowCount="0">
  <tableColumns count="33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</tableColumns>
  <tableStyleInfo name="小川自取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id="7" name="Table_7" displayName="Table_7" ref="A1:AG1" headerRowCount="0">
  <tableColumns count="33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</tableColumns>
  <tableStyleInfo name="郵寄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id="8" name="Table_8" displayName="Table_8" ref="A2:AG28" headerRowCount="0">
  <tableColumns count="33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</tableColumns>
  <tableStyleInfo name="郵寄-style 2" showFirstColumn="1" showLastColumn="1" showRowStripes="1" showColumnStripes="0"/>
</table>
</file>

<file path=xl/tables/table9.xml><?xml version="1.0" encoding="utf-8"?>
<table xmlns="http://schemas.openxmlformats.org/spreadsheetml/2006/main" id="9" name="Table_9" displayName="Table_9" ref="A1:AG1" headerRowCount="0">
  <tableColumns count="33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</tableColumns>
  <tableStyleInfo name="待確認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id="10" name="Table_10" displayName="Table_10" ref="A2:AG3" headerRowCount="0">
  <tableColumns count="33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</tableColumns>
  <tableStyleInfo name="待確認-style 2" showFirstColumn="1" showLastColumn="1" showRowStripes="1" showColumnStripes="0"/>
</table>
</file>

<file path=xl/tables/table11.xml><?xml version="1.0" encoding="utf-8"?>
<table xmlns="http://schemas.openxmlformats.org/spreadsheetml/2006/main" id="11" name="Table_11" displayName="Table_11" ref="A4:AG5" headerRowCount="0">
  <tableColumns count="33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</tableColumns>
  <tableStyleInfo name="待確認-style 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pipakuih@gmail.com" TargetMode="External"/><Relationship Id="rId7" Type="http://schemas.openxmlformats.org/officeDocument/2006/relationships/table" Target="../tables/table5.xml"/><Relationship Id="rId2" Type="http://schemas.openxmlformats.org/officeDocument/2006/relationships/hyperlink" Target="mailto:yufanlin323@gmail.com" TargetMode="External"/><Relationship Id="rId1" Type="http://schemas.openxmlformats.org/officeDocument/2006/relationships/hyperlink" Target="mailto:jim870106@gmail.com" TargetMode="External"/><Relationship Id="rId6" Type="http://schemas.openxmlformats.org/officeDocument/2006/relationships/table" Target="../tables/table4.xml"/><Relationship Id="rId5" Type="http://schemas.openxmlformats.org/officeDocument/2006/relationships/hyperlink" Target="mailto:julovesabinna@gmail.com" TargetMode="External"/><Relationship Id="rId4" Type="http://schemas.openxmlformats.org/officeDocument/2006/relationships/hyperlink" Target="mailto:a6838916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yitsun66@gmail.com" TargetMode="External"/><Relationship Id="rId4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H1000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" customHeight="1" x14ac:dyDescent="0.25"/>
  <cols>
    <col min="1" max="2" width="18.90625" customWidth="1"/>
    <col min="3" max="3" width="23.7265625" customWidth="1"/>
    <col min="4" max="4" width="27.453125" customWidth="1"/>
    <col min="5" max="5" width="18.90625" customWidth="1"/>
    <col min="6" max="6" width="20.08984375" customWidth="1"/>
    <col min="7" max="7" width="21.453125" customWidth="1"/>
    <col min="8" max="8" width="32.26953125" customWidth="1"/>
    <col min="9" max="9" width="21.7265625" customWidth="1"/>
    <col min="10" max="10" width="31.08984375" customWidth="1"/>
    <col min="11" max="12" width="18.90625" customWidth="1"/>
    <col min="13" max="13" width="19.7265625" customWidth="1"/>
    <col min="14" max="14" width="20.453125" customWidth="1"/>
    <col min="15" max="19" width="18.90625" customWidth="1"/>
    <col min="20" max="20" width="26.36328125" customWidth="1"/>
    <col min="21" max="21" width="18.90625" customWidth="1"/>
    <col min="22" max="22" width="34.26953125" customWidth="1"/>
    <col min="23" max="23" width="18.90625" customWidth="1"/>
    <col min="24" max="24" width="35.90625" customWidth="1"/>
    <col min="25" max="25" width="18.90625" customWidth="1"/>
    <col min="26" max="26" width="33.08984375" customWidth="1"/>
    <col min="27" max="34" width="18.90625" customWidth="1"/>
  </cols>
  <sheetData>
    <row r="1" spans="1:34" ht="15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3" t="s">
        <v>32</v>
      </c>
    </row>
    <row r="2" spans="1:34" ht="15.75" customHeight="1" x14ac:dyDescent="0.25">
      <c r="A2" s="4">
        <v>45761.48957208333</v>
      </c>
      <c r="B2" s="5" t="s">
        <v>33</v>
      </c>
      <c r="C2" s="6"/>
      <c r="D2" s="5" t="s">
        <v>34</v>
      </c>
      <c r="E2" s="6"/>
      <c r="F2" s="6"/>
      <c r="G2" s="6"/>
      <c r="H2" s="6"/>
      <c r="I2" s="6"/>
      <c r="J2" s="5" t="s">
        <v>35</v>
      </c>
      <c r="K2" s="6"/>
      <c r="L2" s="6"/>
      <c r="M2" s="6"/>
      <c r="N2" s="6"/>
      <c r="O2" s="6"/>
      <c r="P2" s="6"/>
      <c r="Q2" s="6"/>
      <c r="R2" s="6"/>
      <c r="S2" s="6"/>
      <c r="T2" s="6"/>
      <c r="U2" s="5" t="s">
        <v>36</v>
      </c>
      <c r="V2" s="5" t="s">
        <v>37</v>
      </c>
      <c r="W2" s="7" t="s">
        <v>38</v>
      </c>
      <c r="X2" s="5" t="s">
        <v>39</v>
      </c>
      <c r="Y2" s="5" t="s">
        <v>40</v>
      </c>
      <c r="Z2" s="6"/>
      <c r="AA2" s="5" t="s">
        <v>41</v>
      </c>
      <c r="AB2" s="6"/>
      <c r="AC2" s="6"/>
      <c r="AD2" s="6"/>
      <c r="AE2" s="6"/>
      <c r="AF2" s="6"/>
      <c r="AG2" s="6"/>
      <c r="AH2" s="6"/>
    </row>
    <row r="3" spans="1:34" ht="15.75" customHeight="1" x14ac:dyDescent="0.25">
      <c r="A3" s="8">
        <v>45761.598426666664</v>
      </c>
      <c r="B3" s="9" t="s">
        <v>33</v>
      </c>
      <c r="C3" s="6"/>
      <c r="D3" s="9" t="s">
        <v>42</v>
      </c>
      <c r="E3" s="6"/>
      <c r="F3" s="6"/>
      <c r="G3" s="6"/>
      <c r="H3" s="6"/>
      <c r="I3" s="6"/>
      <c r="J3" s="9" t="s">
        <v>43</v>
      </c>
      <c r="K3" s="9">
        <v>1</v>
      </c>
      <c r="L3" s="9">
        <v>1</v>
      </c>
      <c r="M3" s="6"/>
      <c r="N3" s="6"/>
      <c r="O3" s="6"/>
      <c r="P3" s="6"/>
      <c r="Q3" s="6"/>
      <c r="R3" s="6"/>
      <c r="S3" s="6"/>
      <c r="T3" s="6"/>
      <c r="U3" s="9" t="s">
        <v>44</v>
      </c>
      <c r="V3" s="9" t="s">
        <v>45</v>
      </c>
      <c r="W3" s="10" t="s">
        <v>46</v>
      </c>
      <c r="X3" s="9" t="s">
        <v>47</v>
      </c>
      <c r="Y3" s="9" t="s">
        <v>40</v>
      </c>
      <c r="Z3" s="6"/>
      <c r="AA3" s="9" t="s">
        <v>41</v>
      </c>
      <c r="AB3" s="6"/>
      <c r="AC3" s="6"/>
      <c r="AD3" s="6"/>
      <c r="AE3" s="6"/>
      <c r="AF3" s="6"/>
      <c r="AG3" s="6"/>
      <c r="AH3" s="6"/>
    </row>
    <row r="4" spans="1:34" ht="15.75" customHeight="1" x14ac:dyDescent="0.25">
      <c r="A4" s="4">
        <v>45761.604505266208</v>
      </c>
      <c r="B4" s="5" t="s">
        <v>33</v>
      </c>
      <c r="C4" s="5">
        <v>1</v>
      </c>
      <c r="D4" s="6"/>
      <c r="E4" s="6"/>
      <c r="F4" s="6"/>
      <c r="G4" s="5">
        <v>1</v>
      </c>
      <c r="H4" s="5">
        <v>1</v>
      </c>
      <c r="I4" s="6"/>
      <c r="J4" s="5" t="s">
        <v>35</v>
      </c>
      <c r="K4" s="6"/>
      <c r="L4" s="6"/>
      <c r="M4" s="6"/>
      <c r="N4" s="6"/>
      <c r="O4" s="6"/>
      <c r="P4" s="5">
        <v>1</v>
      </c>
      <c r="Q4" s="6"/>
      <c r="R4" s="6"/>
      <c r="S4" s="6"/>
      <c r="T4" s="6"/>
      <c r="U4" s="5" t="s">
        <v>48</v>
      </c>
      <c r="V4" s="5" t="s">
        <v>49</v>
      </c>
      <c r="W4" s="7" t="s">
        <v>50</v>
      </c>
      <c r="X4" s="5" t="s">
        <v>47</v>
      </c>
      <c r="Y4" s="5" t="s">
        <v>51</v>
      </c>
      <c r="Z4" s="5">
        <v>48484</v>
      </c>
      <c r="AA4" s="5" t="s">
        <v>52</v>
      </c>
      <c r="AB4" s="5" t="s">
        <v>48</v>
      </c>
      <c r="AC4" s="5" t="s">
        <v>53</v>
      </c>
      <c r="AD4" s="6"/>
      <c r="AE4" s="6"/>
      <c r="AF4" s="6"/>
      <c r="AG4" s="6"/>
      <c r="AH4" s="6"/>
    </row>
    <row r="5" spans="1:34" ht="15.75" customHeight="1" x14ac:dyDescent="0.25">
      <c r="A5" s="8">
        <v>45761.637626516203</v>
      </c>
      <c r="B5" s="9" t="s">
        <v>33</v>
      </c>
      <c r="C5" s="9">
        <v>4</v>
      </c>
      <c r="D5" s="6"/>
      <c r="E5" s="6"/>
      <c r="F5" s="6"/>
      <c r="G5" s="6"/>
      <c r="H5" s="6"/>
      <c r="I5" s="6"/>
      <c r="J5" s="9" t="s">
        <v>35</v>
      </c>
      <c r="K5" s="6"/>
      <c r="L5" s="6"/>
      <c r="M5" s="6"/>
      <c r="N5" s="6"/>
      <c r="O5" s="6"/>
      <c r="P5" s="6"/>
      <c r="Q5" s="6"/>
      <c r="R5" s="6"/>
      <c r="S5" s="6"/>
      <c r="T5" s="6"/>
      <c r="U5" s="9" t="s">
        <v>54</v>
      </c>
      <c r="V5" s="9" t="s">
        <v>55</v>
      </c>
      <c r="W5" s="10" t="s">
        <v>56</v>
      </c>
      <c r="X5" s="9" t="s">
        <v>47</v>
      </c>
      <c r="Y5" s="9" t="s">
        <v>51</v>
      </c>
      <c r="Z5" s="9">
        <v>43004</v>
      </c>
      <c r="AA5" s="9" t="s">
        <v>52</v>
      </c>
      <c r="AB5" s="9" t="s">
        <v>54</v>
      </c>
      <c r="AC5" s="9" t="s">
        <v>57</v>
      </c>
      <c r="AD5" s="6"/>
      <c r="AE5" s="6"/>
      <c r="AF5" s="6"/>
      <c r="AG5" s="6"/>
      <c r="AH5" s="6"/>
    </row>
    <row r="6" spans="1:34" ht="15.75" customHeight="1" x14ac:dyDescent="0.25">
      <c r="A6" s="4">
        <v>45761.655772800921</v>
      </c>
      <c r="B6" s="5" t="s">
        <v>33</v>
      </c>
      <c r="C6" s="6"/>
      <c r="D6" s="6"/>
      <c r="E6" s="5">
        <v>1</v>
      </c>
      <c r="F6" s="6"/>
      <c r="G6" s="6"/>
      <c r="H6" s="6"/>
      <c r="I6" s="6"/>
      <c r="J6" s="5" t="s">
        <v>43</v>
      </c>
      <c r="K6" s="5">
        <v>1</v>
      </c>
      <c r="L6" s="6"/>
      <c r="M6" s="6"/>
      <c r="N6" s="6"/>
      <c r="O6" s="6"/>
      <c r="P6" s="6"/>
      <c r="Q6" s="6"/>
      <c r="R6" s="6"/>
      <c r="S6" s="6"/>
      <c r="T6" s="6"/>
      <c r="U6" s="5" t="s">
        <v>58</v>
      </c>
      <c r="V6" s="5" t="s">
        <v>59</v>
      </c>
      <c r="W6" s="7" t="s">
        <v>60</v>
      </c>
      <c r="X6" s="5" t="s">
        <v>47</v>
      </c>
      <c r="Y6" s="5" t="s">
        <v>40</v>
      </c>
      <c r="Z6" s="6"/>
      <c r="AA6" s="5" t="s">
        <v>61</v>
      </c>
      <c r="AB6" s="6"/>
      <c r="AC6" s="6"/>
      <c r="AD6" s="6"/>
      <c r="AE6" s="6"/>
      <c r="AF6" s="6"/>
      <c r="AG6" s="6"/>
      <c r="AH6" s="6"/>
    </row>
    <row r="7" spans="1:34" ht="15.75" customHeight="1" x14ac:dyDescent="0.25">
      <c r="A7" s="8">
        <v>45761.774629884254</v>
      </c>
      <c r="B7" s="9" t="s">
        <v>33</v>
      </c>
      <c r="C7" s="9">
        <v>2</v>
      </c>
      <c r="D7" s="6"/>
      <c r="E7" s="6"/>
      <c r="F7" s="6"/>
      <c r="G7" s="9">
        <v>1</v>
      </c>
      <c r="H7" s="9">
        <v>1</v>
      </c>
      <c r="I7" s="9">
        <v>1</v>
      </c>
      <c r="J7" s="9" t="s">
        <v>35</v>
      </c>
      <c r="K7" s="6"/>
      <c r="L7" s="6"/>
      <c r="M7" s="9">
        <v>1</v>
      </c>
      <c r="N7" s="6"/>
      <c r="O7" s="6"/>
      <c r="P7" s="6"/>
      <c r="Q7" s="9">
        <v>1</v>
      </c>
      <c r="R7" s="6"/>
      <c r="S7" s="6"/>
      <c r="T7" s="6"/>
      <c r="U7" s="9" t="s">
        <v>62</v>
      </c>
      <c r="V7" s="9" t="s">
        <v>63</v>
      </c>
      <c r="W7" s="10" t="s">
        <v>64</v>
      </c>
      <c r="X7" s="9" t="s">
        <v>65</v>
      </c>
      <c r="Y7" s="9" t="s">
        <v>40</v>
      </c>
      <c r="Z7" s="6"/>
      <c r="AA7" s="9" t="s">
        <v>66</v>
      </c>
      <c r="AB7" s="6"/>
      <c r="AC7" s="6"/>
      <c r="AD7" s="9">
        <v>1</v>
      </c>
      <c r="AE7" s="6"/>
      <c r="AF7" s="6"/>
      <c r="AG7" s="6"/>
      <c r="AH7" s="6"/>
    </row>
    <row r="8" spans="1:34" ht="15.75" customHeight="1" x14ac:dyDescent="0.25">
      <c r="A8" s="4">
        <v>45761.784901053237</v>
      </c>
      <c r="B8" s="5" t="s">
        <v>33</v>
      </c>
      <c r="C8" s="5">
        <v>1</v>
      </c>
      <c r="D8" s="6"/>
      <c r="E8" s="6"/>
      <c r="F8" s="6"/>
      <c r="G8" s="6"/>
      <c r="H8" s="6"/>
      <c r="I8" s="5">
        <v>3</v>
      </c>
      <c r="J8" s="5" t="s">
        <v>43</v>
      </c>
      <c r="K8" s="5">
        <v>1</v>
      </c>
      <c r="L8" s="5">
        <v>1</v>
      </c>
      <c r="M8" s="6"/>
      <c r="N8" s="6"/>
      <c r="O8" s="6"/>
      <c r="P8" s="6"/>
      <c r="Q8" s="5">
        <v>1</v>
      </c>
      <c r="R8" s="6"/>
      <c r="S8" s="6"/>
      <c r="T8" s="5">
        <v>1</v>
      </c>
      <c r="U8" s="5" t="s">
        <v>67</v>
      </c>
      <c r="V8" s="5" t="s">
        <v>68</v>
      </c>
      <c r="W8" s="7" t="s">
        <v>69</v>
      </c>
      <c r="X8" s="5" t="s">
        <v>65</v>
      </c>
      <c r="Y8" s="5" t="s">
        <v>51</v>
      </c>
      <c r="Z8" s="5" t="s">
        <v>70</v>
      </c>
      <c r="AA8" s="5" t="s">
        <v>61</v>
      </c>
      <c r="AB8" s="6"/>
      <c r="AC8" s="6"/>
      <c r="AD8" s="5">
        <v>3</v>
      </c>
      <c r="AE8" s="5">
        <v>2</v>
      </c>
      <c r="AF8" s="5"/>
      <c r="AG8" s="5"/>
      <c r="AH8" s="6"/>
    </row>
    <row r="9" spans="1:34" ht="15.75" customHeight="1" x14ac:dyDescent="0.25">
      <c r="A9" s="8">
        <v>45761.86237855324</v>
      </c>
      <c r="B9" s="9" t="s">
        <v>71</v>
      </c>
      <c r="C9" s="6"/>
      <c r="D9" s="6"/>
      <c r="E9" s="6"/>
      <c r="F9" s="6"/>
      <c r="G9" s="6"/>
      <c r="H9" s="6"/>
      <c r="I9" s="6"/>
      <c r="J9" s="9" t="s">
        <v>35</v>
      </c>
      <c r="K9" s="6"/>
      <c r="L9" s="6"/>
      <c r="M9" s="6"/>
      <c r="N9" s="6"/>
      <c r="O9" s="6"/>
      <c r="P9" s="6"/>
      <c r="Q9" s="6"/>
      <c r="R9" s="6"/>
      <c r="S9" s="6"/>
      <c r="T9" s="9">
        <v>3</v>
      </c>
      <c r="U9" s="9" t="s">
        <v>72</v>
      </c>
      <c r="V9" s="9" t="s">
        <v>73</v>
      </c>
      <c r="W9" s="10" t="s">
        <v>74</v>
      </c>
      <c r="X9" s="9" t="s">
        <v>47</v>
      </c>
      <c r="Y9" s="9" t="s">
        <v>40</v>
      </c>
      <c r="Z9" s="6"/>
      <c r="AA9" s="9" t="s">
        <v>66</v>
      </c>
      <c r="AB9" s="6"/>
      <c r="AC9" s="6"/>
      <c r="AD9" s="6"/>
      <c r="AE9" s="9">
        <v>2</v>
      </c>
      <c r="AF9" s="9"/>
      <c r="AG9" s="9"/>
      <c r="AH9" s="6"/>
    </row>
    <row r="10" spans="1:34" ht="15.75" customHeight="1" x14ac:dyDescent="0.25">
      <c r="A10" s="4">
        <v>45761.866381840278</v>
      </c>
      <c r="B10" s="5" t="s">
        <v>33</v>
      </c>
      <c r="C10" s="5">
        <v>2</v>
      </c>
      <c r="D10" s="6"/>
      <c r="E10" s="6"/>
      <c r="F10" s="6"/>
      <c r="G10" s="6"/>
      <c r="H10" s="6"/>
      <c r="I10" s="6"/>
      <c r="J10" s="5" t="s">
        <v>35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5" t="s">
        <v>75</v>
      </c>
      <c r="V10" s="5" t="s">
        <v>76</v>
      </c>
      <c r="W10" s="7" t="s">
        <v>77</v>
      </c>
      <c r="X10" s="5" t="s">
        <v>47</v>
      </c>
      <c r="Y10" s="5" t="s">
        <v>51</v>
      </c>
      <c r="Z10" s="5">
        <v>52647</v>
      </c>
      <c r="AA10" s="5" t="s">
        <v>52</v>
      </c>
      <c r="AB10" s="5" t="s">
        <v>75</v>
      </c>
      <c r="AC10" s="5" t="s">
        <v>78</v>
      </c>
      <c r="AD10" s="6"/>
      <c r="AE10" s="6"/>
      <c r="AF10" s="6"/>
      <c r="AG10" s="6"/>
      <c r="AH10" s="6"/>
    </row>
    <row r="11" spans="1:34" ht="15.75" customHeight="1" x14ac:dyDescent="0.25">
      <c r="A11" s="8">
        <v>45761.872813703703</v>
      </c>
      <c r="B11" s="9" t="s">
        <v>33</v>
      </c>
      <c r="C11" s="6"/>
      <c r="D11" s="6"/>
      <c r="E11" s="9">
        <v>1</v>
      </c>
      <c r="F11" s="6"/>
      <c r="G11" s="6"/>
      <c r="H11" s="6"/>
      <c r="I11" s="6"/>
      <c r="J11" s="9" t="s">
        <v>35</v>
      </c>
      <c r="K11" s="6"/>
      <c r="L11" s="6"/>
      <c r="M11" s="9">
        <v>1</v>
      </c>
      <c r="N11" s="6"/>
      <c r="O11" s="6"/>
      <c r="P11" s="6"/>
      <c r="Q11" s="6"/>
      <c r="R11" s="6"/>
      <c r="S11" s="6"/>
      <c r="T11" s="6"/>
      <c r="U11" s="9" t="s">
        <v>79</v>
      </c>
      <c r="V11" s="9" t="s">
        <v>80</v>
      </c>
      <c r="W11" s="10" t="s">
        <v>81</v>
      </c>
      <c r="X11" s="9" t="s">
        <v>47</v>
      </c>
      <c r="Y11" s="9" t="s">
        <v>51</v>
      </c>
      <c r="Z11" s="9">
        <v>32206</v>
      </c>
      <c r="AA11" s="9" t="s">
        <v>41</v>
      </c>
      <c r="AB11" s="6"/>
      <c r="AC11" s="6"/>
      <c r="AD11" s="6"/>
      <c r="AE11" s="6"/>
      <c r="AF11" s="6"/>
      <c r="AG11" s="6"/>
      <c r="AH11" s="6"/>
    </row>
    <row r="12" spans="1:34" ht="15.75" customHeight="1" x14ac:dyDescent="0.25">
      <c r="A12" s="4">
        <v>45761.87904255787</v>
      </c>
      <c r="B12" s="5" t="s">
        <v>33</v>
      </c>
      <c r="C12" s="5">
        <v>1</v>
      </c>
      <c r="D12" s="6"/>
      <c r="E12" s="6"/>
      <c r="F12" s="6"/>
      <c r="G12" s="6"/>
      <c r="H12" s="6"/>
      <c r="I12" s="6"/>
      <c r="J12" s="5" t="s">
        <v>35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5" t="s">
        <v>82</v>
      </c>
      <c r="V12" s="5" t="s">
        <v>83</v>
      </c>
      <c r="W12" s="7" t="s">
        <v>84</v>
      </c>
      <c r="X12" s="5" t="s">
        <v>47</v>
      </c>
      <c r="Y12" s="5" t="s">
        <v>40</v>
      </c>
      <c r="Z12" s="6"/>
      <c r="AA12" s="5" t="s">
        <v>66</v>
      </c>
      <c r="AB12" s="6"/>
      <c r="AC12" s="6"/>
      <c r="AD12" s="6"/>
      <c r="AE12" s="6"/>
      <c r="AF12" s="6"/>
      <c r="AG12" s="6"/>
      <c r="AH12" s="6"/>
    </row>
    <row r="13" spans="1:34" ht="15.75" customHeight="1" x14ac:dyDescent="0.25">
      <c r="A13" s="8">
        <v>45761.888058587967</v>
      </c>
      <c r="B13" s="9" t="s">
        <v>33</v>
      </c>
      <c r="C13" s="9">
        <v>1</v>
      </c>
      <c r="D13" s="6"/>
      <c r="E13" s="6"/>
      <c r="F13" s="6"/>
      <c r="G13" s="6"/>
      <c r="H13" s="9">
        <v>1</v>
      </c>
      <c r="I13" s="9">
        <v>1</v>
      </c>
      <c r="J13" s="9" t="s">
        <v>43</v>
      </c>
      <c r="K13" s="9">
        <v>1</v>
      </c>
      <c r="L13" s="9">
        <v>1</v>
      </c>
      <c r="M13" s="6"/>
      <c r="N13" s="6"/>
      <c r="O13" s="6"/>
      <c r="P13" s="6"/>
      <c r="Q13" s="6"/>
      <c r="R13" s="6"/>
      <c r="S13" s="9">
        <v>1</v>
      </c>
      <c r="T13" s="6"/>
      <c r="U13" s="9" t="s">
        <v>85</v>
      </c>
      <c r="V13" s="9" t="s">
        <v>86</v>
      </c>
      <c r="W13" s="10" t="s">
        <v>87</v>
      </c>
      <c r="X13" s="9" t="s">
        <v>65</v>
      </c>
      <c r="Y13" s="9" t="s">
        <v>40</v>
      </c>
      <c r="Z13" s="6"/>
      <c r="AA13" s="9" t="s">
        <v>61</v>
      </c>
      <c r="AB13" s="6"/>
      <c r="AC13" s="6"/>
      <c r="AD13" s="6"/>
      <c r="AE13" s="6"/>
      <c r="AF13" s="6"/>
      <c r="AG13" s="6"/>
      <c r="AH13" s="6"/>
    </row>
    <row r="14" spans="1:34" ht="15.75" customHeight="1" x14ac:dyDescent="0.25">
      <c r="A14" s="4">
        <v>45761.90619952546</v>
      </c>
      <c r="B14" s="5" t="s">
        <v>33</v>
      </c>
      <c r="C14" s="5">
        <v>2</v>
      </c>
      <c r="D14" s="5" t="s">
        <v>88</v>
      </c>
      <c r="E14" s="6"/>
      <c r="F14" s="6"/>
      <c r="G14" s="5">
        <v>2</v>
      </c>
      <c r="H14" s="5">
        <v>2</v>
      </c>
      <c r="I14" s="6"/>
      <c r="J14" s="5" t="s">
        <v>35</v>
      </c>
      <c r="K14" s="6"/>
      <c r="L14" s="6"/>
      <c r="M14" s="6"/>
      <c r="N14" s="6"/>
      <c r="O14" s="6"/>
      <c r="P14" s="6"/>
      <c r="Q14" s="6"/>
      <c r="R14" s="6"/>
      <c r="S14" s="5">
        <v>1</v>
      </c>
      <c r="T14" s="5">
        <v>1</v>
      </c>
      <c r="U14" s="5" t="s">
        <v>89</v>
      </c>
      <c r="V14" s="5" t="s">
        <v>90</v>
      </c>
      <c r="W14" s="7" t="s">
        <v>91</v>
      </c>
      <c r="X14" s="5" t="s">
        <v>47</v>
      </c>
      <c r="Y14" s="5" t="s">
        <v>40</v>
      </c>
      <c r="Z14" s="6"/>
      <c r="AA14" s="5" t="s">
        <v>41</v>
      </c>
      <c r="AB14" s="6"/>
      <c r="AC14" s="6"/>
      <c r="AD14" s="5">
        <v>10</v>
      </c>
      <c r="AE14" s="6"/>
      <c r="AF14" s="6"/>
      <c r="AG14" s="6"/>
      <c r="AH14" s="6"/>
    </row>
    <row r="15" spans="1:34" ht="15.75" customHeight="1" x14ac:dyDescent="0.25">
      <c r="A15" s="8">
        <v>45761.951232129628</v>
      </c>
      <c r="B15" s="9" t="s">
        <v>33</v>
      </c>
      <c r="C15" s="6"/>
      <c r="D15" s="9" t="s">
        <v>92</v>
      </c>
      <c r="E15" s="6"/>
      <c r="F15" s="6"/>
      <c r="G15" s="6"/>
      <c r="H15" s="6"/>
      <c r="I15" s="6"/>
      <c r="J15" s="9" t="s">
        <v>43</v>
      </c>
      <c r="K15" s="9">
        <v>2</v>
      </c>
      <c r="L15" s="9">
        <v>3</v>
      </c>
      <c r="M15" s="6"/>
      <c r="N15" s="6"/>
      <c r="O15" s="6"/>
      <c r="P15" s="6"/>
      <c r="Q15" s="6"/>
      <c r="R15" s="6"/>
      <c r="S15" s="6"/>
      <c r="T15" s="6"/>
      <c r="U15" s="9" t="s">
        <v>93</v>
      </c>
      <c r="V15" s="9" t="s">
        <v>94</v>
      </c>
      <c r="W15" s="10" t="s">
        <v>95</v>
      </c>
      <c r="X15" s="9" t="s">
        <v>47</v>
      </c>
      <c r="Y15" s="9" t="s">
        <v>51</v>
      </c>
      <c r="Z15" s="10" t="s">
        <v>96</v>
      </c>
      <c r="AA15" s="9" t="s">
        <v>52</v>
      </c>
      <c r="AB15" s="9" t="s">
        <v>97</v>
      </c>
      <c r="AC15" s="9" t="s">
        <v>98</v>
      </c>
      <c r="AD15" s="6"/>
      <c r="AE15" s="6"/>
      <c r="AF15" s="6"/>
      <c r="AG15" s="6"/>
      <c r="AH15" s="6"/>
    </row>
    <row r="16" spans="1:34" ht="15.75" customHeight="1" x14ac:dyDescent="0.25">
      <c r="A16" s="4">
        <v>45761.957708275462</v>
      </c>
      <c r="B16" s="5" t="s">
        <v>71</v>
      </c>
      <c r="C16" s="6"/>
      <c r="D16" s="6"/>
      <c r="E16" s="6"/>
      <c r="F16" s="6"/>
      <c r="G16" s="6"/>
      <c r="H16" s="6"/>
      <c r="I16" s="6"/>
      <c r="J16" s="5" t="s">
        <v>43</v>
      </c>
      <c r="K16" s="5">
        <v>1</v>
      </c>
      <c r="L16" s="6"/>
      <c r="M16" s="6"/>
      <c r="N16" s="6"/>
      <c r="O16" s="6"/>
      <c r="P16" s="6"/>
      <c r="Q16" s="6"/>
      <c r="R16" s="6"/>
      <c r="S16" s="5">
        <v>1</v>
      </c>
      <c r="T16" s="5">
        <v>1</v>
      </c>
      <c r="U16" s="5" t="s">
        <v>99</v>
      </c>
      <c r="V16" s="5" t="s">
        <v>100</v>
      </c>
      <c r="W16" s="7" t="s">
        <v>101</v>
      </c>
      <c r="X16" s="5" t="s">
        <v>47</v>
      </c>
      <c r="Y16" s="5" t="s">
        <v>40</v>
      </c>
      <c r="Z16" s="6"/>
      <c r="AA16" s="5" t="s">
        <v>61</v>
      </c>
      <c r="AB16" s="6"/>
      <c r="AC16" s="6"/>
      <c r="AD16" s="6"/>
      <c r="AE16" s="6"/>
      <c r="AF16" s="6"/>
      <c r="AG16" s="6"/>
      <c r="AH16" s="6"/>
    </row>
    <row r="17" spans="1:34" ht="15.75" customHeight="1" x14ac:dyDescent="0.25">
      <c r="A17" s="8">
        <v>45761.989407476853</v>
      </c>
      <c r="B17" s="9" t="s">
        <v>33</v>
      </c>
      <c r="C17" s="9">
        <v>1</v>
      </c>
      <c r="D17" s="6"/>
      <c r="E17" s="9">
        <v>1</v>
      </c>
      <c r="F17" s="6"/>
      <c r="G17" s="6"/>
      <c r="H17" s="6"/>
      <c r="I17" s="6"/>
      <c r="J17" s="9" t="s">
        <v>43</v>
      </c>
      <c r="K17" s="6"/>
      <c r="L17" s="9">
        <v>2</v>
      </c>
      <c r="M17" s="6"/>
      <c r="N17" s="6"/>
      <c r="O17" s="6"/>
      <c r="P17" s="6"/>
      <c r="Q17" s="6"/>
      <c r="R17" s="6"/>
      <c r="S17" s="6"/>
      <c r="T17" s="9">
        <v>1</v>
      </c>
      <c r="U17" s="9" t="s">
        <v>102</v>
      </c>
      <c r="V17" s="9" t="s">
        <v>103</v>
      </c>
      <c r="W17" s="10" t="s">
        <v>104</v>
      </c>
      <c r="X17" s="9" t="s">
        <v>47</v>
      </c>
      <c r="Y17" s="9" t="s">
        <v>51</v>
      </c>
      <c r="Z17" s="9">
        <v>40236</v>
      </c>
      <c r="AA17" s="9" t="s">
        <v>41</v>
      </c>
      <c r="AB17" s="6"/>
      <c r="AC17" s="6"/>
      <c r="AD17" s="6"/>
      <c r="AE17" s="6"/>
      <c r="AF17" s="6"/>
      <c r="AG17" s="6"/>
      <c r="AH17" s="6"/>
    </row>
    <row r="18" spans="1:34" ht="15.75" customHeight="1" x14ac:dyDescent="0.25">
      <c r="A18" s="4">
        <v>45762.000337453705</v>
      </c>
      <c r="B18" s="5" t="s">
        <v>33</v>
      </c>
      <c r="C18" s="6"/>
      <c r="D18" s="5" t="s">
        <v>105</v>
      </c>
      <c r="E18" s="6"/>
      <c r="F18" s="6"/>
      <c r="G18" s="6"/>
      <c r="H18" s="6"/>
      <c r="I18" s="6"/>
      <c r="J18" s="5" t="s">
        <v>35</v>
      </c>
      <c r="K18" s="6"/>
      <c r="L18" s="6"/>
      <c r="M18" s="6"/>
      <c r="N18" s="6"/>
      <c r="O18" s="6"/>
      <c r="P18" s="6"/>
      <c r="Q18" s="5">
        <v>1</v>
      </c>
      <c r="R18" s="6"/>
      <c r="S18" s="6"/>
      <c r="T18" s="6"/>
      <c r="U18" s="5" t="s">
        <v>106</v>
      </c>
      <c r="V18" s="5" t="s">
        <v>107</v>
      </c>
      <c r="W18" s="7" t="s">
        <v>108</v>
      </c>
      <c r="X18" s="5" t="s">
        <v>47</v>
      </c>
      <c r="Y18" s="5" t="s">
        <v>51</v>
      </c>
      <c r="Z18" s="5">
        <v>86771</v>
      </c>
      <c r="AA18" s="5" t="s">
        <v>52</v>
      </c>
      <c r="AB18" s="5" t="s">
        <v>106</v>
      </c>
      <c r="AC18" s="5" t="s">
        <v>109</v>
      </c>
      <c r="AD18" s="6"/>
      <c r="AE18" s="6"/>
      <c r="AF18" s="6"/>
      <c r="AG18" s="6"/>
      <c r="AH18" s="6"/>
    </row>
    <row r="19" spans="1:34" ht="15.75" customHeight="1" x14ac:dyDescent="0.25">
      <c r="A19" s="8">
        <v>45762.015369710643</v>
      </c>
      <c r="B19" s="9" t="s">
        <v>71</v>
      </c>
      <c r="C19" s="6"/>
      <c r="D19" s="6"/>
      <c r="E19" s="6"/>
      <c r="F19" s="6"/>
      <c r="G19" s="6"/>
      <c r="H19" s="6"/>
      <c r="I19" s="6"/>
      <c r="J19" s="9" t="s">
        <v>43</v>
      </c>
      <c r="K19" s="9">
        <v>1</v>
      </c>
      <c r="L19" s="9">
        <v>1</v>
      </c>
      <c r="M19" s="6"/>
      <c r="N19" s="6"/>
      <c r="O19" s="6"/>
      <c r="P19" s="6"/>
      <c r="Q19" s="6"/>
      <c r="R19" s="6"/>
      <c r="S19" s="9">
        <v>1</v>
      </c>
      <c r="T19" s="6"/>
      <c r="U19" s="9" t="s">
        <v>110</v>
      </c>
      <c r="V19" s="9" t="s">
        <v>111</v>
      </c>
      <c r="W19" s="10" t="s">
        <v>112</v>
      </c>
      <c r="X19" s="9" t="s">
        <v>39</v>
      </c>
      <c r="Y19" s="9" t="s">
        <v>40</v>
      </c>
      <c r="Z19" s="6"/>
      <c r="AA19" s="9" t="s">
        <v>61</v>
      </c>
      <c r="AB19" s="6"/>
      <c r="AC19" s="6"/>
      <c r="AD19" s="6"/>
      <c r="AE19" s="6"/>
      <c r="AF19" s="6"/>
      <c r="AG19" s="6"/>
      <c r="AH19" s="6"/>
    </row>
    <row r="20" spans="1:34" ht="15.75" customHeight="1" x14ac:dyDescent="0.25">
      <c r="A20" s="4">
        <v>45762.083490277779</v>
      </c>
      <c r="B20" s="5" t="s">
        <v>71</v>
      </c>
      <c r="C20" s="6"/>
      <c r="D20" s="6"/>
      <c r="E20" s="6"/>
      <c r="F20" s="6"/>
      <c r="G20" s="6"/>
      <c r="H20" s="6"/>
      <c r="I20" s="6"/>
      <c r="J20" s="5" t="s">
        <v>35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5" t="s">
        <v>102</v>
      </c>
      <c r="V20" s="5" t="s">
        <v>103</v>
      </c>
      <c r="W20" s="7" t="s">
        <v>104</v>
      </c>
      <c r="X20" s="5" t="s">
        <v>47</v>
      </c>
      <c r="Y20" s="5" t="s">
        <v>51</v>
      </c>
      <c r="Z20" s="5">
        <v>40236</v>
      </c>
      <c r="AA20" s="5" t="s">
        <v>41</v>
      </c>
      <c r="AB20" s="6"/>
      <c r="AC20" s="6"/>
      <c r="AD20" s="6"/>
      <c r="AE20" s="5">
        <v>5</v>
      </c>
      <c r="AF20" s="5"/>
      <c r="AG20" s="5"/>
      <c r="AH20" s="6"/>
    </row>
    <row r="21" spans="1:34" ht="15.75" customHeight="1" x14ac:dyDescent="0.25">
      <c r="A21" s="8">
        <v>45762.36733385417</v>
      </c>
      <c r="B21" s="9" t="s">
        <v>33</v>
      </c>
      <c r="C21" s="6"/>
      <c r="D21" s="6"/>
      <c r="E21" s="6"/>
      <c r="F21" s="6"/>
      <c r="G21" s="6"/>
      <c r="H21" s="6"/>
      <c r="I21" s="6"/>
      <c r="J21" s="9" t="s">
        <v>43</v>
      </c>
      <c r="K21" s="9">
        <v>1</v>
      </c>
      <c r="L21" s="9">
        <v>1</v>
      </c>
      <c r="M21" s="6"/>
      <c r="N21" s="6"/>
      <c r="O21" s="6"/>
      <c r="P21" s="6"/>
      <c r="Q21" s="6"/>
      <c r="R21" s="6"/>
      <c r="S21" s="6"/>
      <c r="T21" s="9">
        <v>1</v>
      </c>
      <c r="U21" s="9" t="s">
        <v>113</v>
      </c>
      <c r="V21" s="9" t="s">
        <v>114</v>
      </c>
      <c r="W21" s="10" t="s">
        <v>115</v>
      </c>
      <c r="X21" s="9" t="s">
        <v>65</v>
      </c>
      <c r="Y21" s="9" t="s">
        <v>40</v>
      </c>
      <c r="Z21" s="6"/>
      <c r="AA21" s="9" t="s">
        <v>66</v>
      </c>
      <c r="AB21" s="6"/>
      <c r="AC21" s="6"/>
      <c r="AD21" s="6"/>
      <c r="AE21" s="9">
        <v>1</v>
      </c>
      <c r="AF21" s="9"/>
      <c r="AG21" s="9"/>
      <c r="AH21" s="6"/>
    </row>
    <row r="22" spans="1:34" ht="15.75" customHeight="1" x14ac:dyDescent="0.25">
      <c r="A22" s="4">
        <v>45762.383040682871</v>
      </c>
      <c r="B22" s="5" t="s">
        <v>33</v>
      </c>
      <c r="C22" s="5">
        <v>3</v>
      </c>
      <c r="D22" s="6"/>
      <c r="E22" s="6"/>
      <c r="F22" s="6"/>
      <c r="G22" s="5">
        <v>1</v>
      </c>
      <c r="H22" s="6"/>
      <c r="I22" s="5">
        <v>1</v>
      </c>
      <c r="J22" s="5" t="s">
        <v>43</v>
      </c>
      <c r="K22" s="5">
        <v>2</v>
      </c>
      <c r="L22" s="5">
        <v>1</v>
      </c>
      <c r="M22" s="6"/>
      <c r="N22" s="5">
        <v>1</v>
      </c>
      <c r="O22" s="6"/>
      <c r="P22" s="6"/>
      <c r="Q22" s="6"/>
      <c r="R22" s="6"/>
      <c r="S22" s="6"/>
      <c r="T22" s="6"/>
      <c r="U22" s="5" t="s">
        <v>116</v>
      </c>
      <c r="V22" s="5" t="s">
        <v>117</v>
      </c>
      <c r="W22" s="7" t="s">
        <v>118</v>
      </c>
      <c r="X22" s="5" t="s">
        <v>39</v>
      </c>
      <c r="Y22" s="5" t="s">
        <v>40</v>
      </c>
      <c r="Z22" s="6"/>
      <c r="AA22" s="5" t="s">
        <v>41</v>
      </c>
      <c r="AB22" s="6"/>
      <c r="AC22" s="6"/>
      <c r="AD22" s="5">
        <v>3</v>
      </c>
      <c r="AE22" s="6"/>
      <c r="AF22" s="6"/>
      <c r="AG22" s="6"/>
      <c r="AH22" s="6"/>
    </row>
    <row r="23" spans="1:34" ht="15.75" customHeight="1" x14ac:dyDescent="0.25">
      <c r="A23" s="8">
        <v>45762.394764467594</v>
      </c>
      <c r="B23" s="9" t="s">
        <v>71</v>
      </c>
      <c r="C23" s="6"/>
      <c r="D23" s="6"/>
      <c r="E23" s="6"/>
      <c r="F23" s="6"/>
      <c r="G23" s="6"/>
      <c r="H23" s="9">
        <v>1</v>
      </c>
      <c r="I23" s="6"/>
      <c r="J23" s="9" t="s">
        <v>43</v>
      </c>
      <c r="K23" s="6"/>
      <c r="L23" s="9">
        <v>1</v>
      </c>
      <c r="M23" s="6"/>
      <c r="N23" s="6"/>
      <c r="O23" s="6"/>
      <c r="P23" s="6"/>
      <c r="Q23" s="6"/>
      <c r="R23" s="9"/>
      <c r="S23" s="6"/>
      <c r="T23" s="6"/>
      <c r="U23" s="9" t="s">
        <v>119</v>
      </c>
      <c r="V23" s="9" t="s">
        <v>120</v>
      </c>
      <c r="W23" s="10" t="s">
        <v>121</v>
      </c>
      <c r="X23" s="9" t="s">
        <v>39</v>
      </c>
      <c r="Y23" s="9" t="s">
        <v>40</v>
      </c>
      <c r="Z23" s="6"/>
      <c r="AA23" s="9" t="s">
        <v>41</v>
      </c>
      <c r="AB23" s="6"/>
      <c r="AC23" s="6"/>
      <c r="AD23" s="6"/>
      <c r="AE23" s="6"/>
      <c r="AF23" s="6"/>
      <c r="AG23" s="6"/>
      <c r="AH23" s="6"/>
    </row>
    <row r="24" spans="1:34" ht="15.75" customHeight="1" x14ac:dyDescent="0.25">
      <c r="A24" s="4">
        <v>45762.45297643519</v>
      </c>
      <c r="B24" s="5" t="s">
        <v>33</v>
      </c>
      <c r="C24" s="5">
        <v>1</v>
      </c>
      <c r="D24" s="6"/>
      <c r="E24" s="6"/>
      <c r="F24" s="6"/>
      <c r="G24" s="6"/>
      <c r="H24" s="6"/>
      <c r="I24" s="6"/>
      <c r="J24" s="5" t="s">
        <v>43</v>
      </c>
      <c r="K24" s="5">
        <v>1</v>
      </c>
      <c r="L24" s="6"/>
      <c r="M24" s="6"/>
      <c r="N24" s="6"/>
      <c r="O24" s="6"/>
      <c r="P24" s="6"/>
      <c r="Q24" s="6"/>
      <c r="R24" s="6"/>
      <c r="S24" s="6"/>
      <c r="T24" s="5">
        <v>1</v>
      </c>
      <c r="U24" s="5" t="s">
        <v>122</v>
      </c>
      <c r="V24" s="5" t="s">
        <v>123</v>
      </c>
      <c r="W24" s="7" t="s">
        <v>124</v>
      </c>
      <c r="X24" s="5" t="s">
        <v>65</v>
      </c>
      <c r="Y24" s="5" t="s">
        <v>40</v>
      </c>
      <c r="Z24" s="6"/>
      <c r="AA24" s="5" t="s">
        <v>66</v>
      </c>
      <c r="AB24" s="6"/>
      <c r="AC24" s="6"/>
      <c r="AD24" s="6"/>
      <c r="AE24" s="5"/>
      <c r="AF24" s="6"/>
      <c r="AG24" s="6"/>
      <c r="AH24" s="6"/>
    </row>
    <row r="25" spans="1:34" ht="15.75" customHeight="1" x14ac:dyDescent="0.25">
      <c r="A25" s="8">
        <v>45762.51299560185</v>
      </c>
      <c r="B25" s="9" t="s">
        <v>33</v>
      </c>
      <c r="C25" s="6"/>
      <c r="D25" s="6"/>
      <c r="E25" s="9">
        <v>2</v>
      </c>
      <c r="F25" s="6"/>
      <c r="G25" s="6"/>
      <c r="H25" s="6"/>
      <c r="I25" s="9">
        <v>2</v>
      </c>
      <c r="J25" s="9" t="s">
        <v>43</v>
      </c>
      <c r="K25" s="9">
        <v>2</v>
      </c>
      <c r="L25" s="6"/>
      <c r="M25" s="6"/>
      <c r="N25" s="6"/>
      <c r="O25" s="6"/>
      <c r="P25" s="6"/>
      <c r="Q25" s="6"/>
      <c r="R25" s="6"/>
      <c r="S25" s="6"/>
      <c r="T25" s="6"/>
      <c r="U25" s="9" t="s">
        <v>125</v>
      </c>
      <c r="V25" s="9" t="s">
        <v>126</v>
      </c>
      <c r="W25" s="10" t="s">
        <v>127</v>
      </c>
      <c r="X25" s="9" t="s">
        <v>47</v>
      </c>
      <c r="Y25" s="9" t="s">
        <v>51</v>
      </c>
      <c r="Z25" s="9">
        <v>37186</v>
      </c>
      <c r="AA25" s="9" t="s">
        <v>52</v>
      </c>
      <c r="AB25" s="9" t="s">
        <v>125</v>
      </c>
      <c r="AC25" s="9" t="s">
        <v>128</v>
      </c>
      <c r="AD25" s="6"/>
      <c r="AE25" s="6"/>
      <c r="AF25" s="6"/>
      <c r="AG25" s="6"/>
      <c r="AH25" s="6"/>
    </row>
    <row r="26" spans="1:34" ht="15.75" customHeight="1" x14ac:dyDescent="0.25">
      <c r="A26" s="4">
        <v>45762.539622719909</v>
      </c>
      <c r="B26" s="5" t="s">
        <v>33</v>
      </c>
      <c r="C26" s="6"/>
      <c r="D26" s="5" t="s">
        <v>129</v>
      </c>
      <c r="E26" s="6"/>
      <c r="F26" s="6"/>
      <c r="G26" s="5">
        <v>2</v>
      </c>
      <c r="H26" s="5">
        <v>2</v>
      </c>
      <c r="I26" s="6"/>
      <c r="J26" s="5" t="s">
        <v>35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5" t="s">
        <v>130</v>
      </c>
      <c r="V26" s="5" t="s">
        <v>131</v>
      </c>
      <c r="W26" s="7" t="s">
        <v>132</v>
      </c>
      <c r="X26" s="5" t="s">
        <v>39</v>
      </c>
      <c r="Y26" s="5" t="s">
        <v>40</v>
      </c>
      <c r="Z26" s="6"/>
      <c r="AA26" s="5" t="s">
        <v>133</v>
      </c>
      <c r="AB26" s="6"/>
      <c r="AC26" s="6"/>
      <c r="AD26" s="6"/>
      <c r="AE26" s="6"/>
      <c r="AF26" s="6"/>
      <c r="AG26" s="6"/>
      <c r="AH26" s="6"/>
    </row>
    <row r="27" spans="1:34" ht="15.75" customHeight="1" x14ac:dyDescent="0.25">
      <c r="A27" s="8">
        <v>45762.606109525463</v>
      </c>
      <c r="B27" s="9" t="s">
        <v>71</v>
      </c>
      <c r="C27" s="6"/>
      <c r="D27" s="6"/>
      <c r="E27" s="6"/>
      <c r="F27" s="6"/>
      <c r="G27" s="6"/>
      <c r="H27" s="6"/>
      <c r="I27" s="6"/>
      <c r="J27" s="9" t="s">
        <v>35</v>
      </c>
      <c r="K27" s="6"/>
      <c r="L27" s="9">
        <v>0</v>
      </c>
      <c r="M27" s="9">
        <v>1</v>
      </c>
      <c r="N27" s="9">
        <v>1</v>
      </c>
      <c r="O27" s="9">
        <v>2</v>
      </c>
      <c r="P27" s="6"/>
      <c r="Q27" s="6"/>
      <c r="R27" s="6"/>
      <c r="S27" s="6"/>
      <c r="T27" s="6"/>
      <c r="U27" s="9" t="s">
        <v>134</v>
      </c>
      <c r="V27" s="9" t="s">
        <v>135</v>
      </c>
      <c r="W27" s="10" t="s">
        <v>136</v>
      </c>
      <c r="X27" s="9" t="s">
        <v>47</v>
      </c>
      <c r="Y27" s="9" t="s">
        <v>51</v>
      </c>
      <c r="Z27" s="9">
        <v>61391</v>
      </c>
      <c r="AA27" s="9" t="s">
        <v>52</v>
      </c>
      <c r="AB27" s="9" t="s">
        <v>134</v>
      </c>
      <c r="AC27" s="9" t="s">
        <v>137</v>
      </c>
      <c r="AD27" s="6"/>
      <c r="AE27" s="6"/>
      <c r="AF27" s="9" t="s">
        <v>138</v>
      </c>
      <c r="AG27" s="9"/>
      <c r="AH27" s="6"/>
    </row>
    <row r="28" spans="1:34" ht="15.75" customHeight="1" x14ac:dyDescent="0.25">
      <c r="A28" s="4">
        <v>45762.707413784723</v>
      </c>
      <c r="B28" s="5" t="s">
        <v>33</v>
      </c>
      <c r="C28" s="6"/>
      <c r="D28" s="5" t="s">
        <v>139</v>
      </c>
      <c r="E28" s="6"/>
      <c r="F28" s="6"/>
      <c r="G28" s="6"/>
      <c r="H28" s="6"/>
      <c r="I28" s="5">
        <v>1</v>
      </c>
      <c r="J28" s="5" t="s">
        <v>43</v>
      </c>
      <c r="K28" s="6"/>
      <c r="L28" s="5">
        <v>1</v>
      </c>
      <c r="M28" s="6"/>
      <c r="N28" s="6"/>
      <c r="O28" s="6"/>
      <c r="P28" s="6"/>
      <c r="Q28" s="6"/>
      <c r="R28" s="6"/>
      <c r="S28" s="6"/>
      <c r="T28" s="6"/>
      <c r="U28" s="5" t="s">
        <v>140</v>
      </c>
      <c r="V28" s="5" t="s">
        <v>141</v>
      </c>
      <c r="W28" s="7" t="s">
        <v>142</v>
      </c>
      <c r="X28" s="5" t="s">
        <v>143</v>
      </c>
      <c r="Y28" s="5" t="s">
        <v>51</v>
      </c>
      <c r="Z28" s="5">
        <v>43941</v>
      </c>
      <c r="AA28" s="5" t="s">
        <v>52</v>
      </c>
      <c r="AB28" s="5" t="s">
        <v>140</v>
      </c>
      <c r="AC28" s="5" t="s">
        <v>144</v>
      </c>
      <c r="AD28" s="6"/>
      <c r="AE28" s="6"/>
      <c r="AF28" s="5" t="s">
        <v>145</v>
      </c>
      <c r="AG28" s="5"/>
      <c r="AH28" s="6"/>
    </row>
    <row r="29" spans="1:34" ht="15.75" customHeight="1" x14ac:dyDescent="0.25">
      <c r="A29" s="8">
        <v>45762.721301319441</v>
      </c>
      <c r="B29" s="9" t="s">
        <v>33</v>
      </c>
      <c r="C29" s="9">
        <v>1</v>
      </c>
      <c r="D29" s="6"/>
      <c r="E29" s="6"/>
      <c r="F29" s="6"/>
      <c r="G29" s="9">
        <v>5</v>
      </c>
      <c r="H29" s="9">
        <v>4</v>
      </c>
      <c r="I29" s="6"/>
      <c r="J29" s="9" t="s">
        <v>35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9" t="s">
        <v>146</v>
      </c>
      <c r="V29" s="9" t="s">
        <v>147</v>
      </c>
      <c r="W29" s="10" t="s">
        <v>148</v>
      </c>
      <c r="X29" s="9" t="s">
        <v>47</v>
      </c>
      <c r="Y29" s="9" t="s">
        <v>51</v>
      </c>
      <c r="Z29" s="9">
        <v>82540</v>
      </c>
      <c r="AA29" s="9" t="s">
        <v>52</v>
      </c>
      <c r="AB29" s="9" t="s">
        <v>146</v>
      </c>
      <c r="AC29" s="9" t="s">
        <v>149</v>
      </c>
      <c r="AD29" s="9">
        <v>2</v>
      </c>
      <c r="AE29" s="6"/>
      <c r="AF29" s="6"/>
      <c r="AG29" s="6"/>
      <c r="AH29" s="6"/>
    </row>
    <row r="30" spans="1:34" ht="15.75" customHeight="1" x14ac:dyDescent="0.25">
      <c r="A30" s="4">
        <v>45762.870125081019</v>
      </c>
      <c r="B30" s="5" t="s">
        <v>71</v>
      </c>
      <c r="C30" s="6"/>
      <c r="D30" s="6"/>
      <c r="E30" s="6"/>
      <c r="F30" s="6"/>
      <c r="G30" s="6"/>
      <c r="H30" s="6"/>
      <c r="I30" s="6"/>
      <c r="J30" s="5" t="s">
        <v>35</v>
      </c>
      <c r="K30" s="6"/>
      <c r="L30" s="6"/>
      <c r="M30" s="6"/>
      <c r="N30" s="6"/>
      <c r="O30" s="6"/>
      <c r="P30" s="6"/>
      <c r="Q30" s="6"/>
      <c r="R30" s="5">
        <v>1</v>
      </c>
      <c r="S30" s="5">
        <v>1</v>
      </c>
      <c r="T30" s="6"/>
      <c r="U30" s="5" t="s">
        <v>150</v>
      </c>
      <c r="V30" s="5" t="s">
        <v>151</v>
      </c>
      <c r="W30" s="7" t="s">
        <v>152</v>
      </c>
      <c r="X30" s="5" t="s">
        <v>47</v>
      </c>
      <c r="Y30" s="5" t="s">
        <v>40</v>
      </c>
      <c r="Z30" s="6"/>
      <c r="AA30" s="5" t="s">
        <v>41</v>
      </c>
      <c r="AB30" s="6"/>
      <c r="AC30" s="6"/>
      <c r="AD30" s="6"/>
      <c r="AE30" s="5"/>
      <c r="AF30" s="6"/>
      <c r="AG30" s="6"/>
      <c r="AH30" s="6"/>
    </row>
    <row r="31" spans="1:34" ht="15.75" customHeight="1" x14ac:dyDescent="0.25">
      <c r="A31" s="8">
        <v>45762.871646770829</v>
      </c>
      <c r="B31" s="9" t="s">
        <v>71</v>
      </c>
      <c r="C31" s="6"/>
      <c r="D31" s="6"/>
      <c r="E31" s="6"/>
      <c r="F31" s="6"/>
      <c r="G31" s="6"/>
      <c r="H31" s="6"/>
      <c r="I31" s="6"/>
      <c r="J31" s="9" t="s">
        <v>35</v>
      </c>
      <c r="K31" s="6"/>
      <c r="L31" s="6"/>
      <c r="M31" s="6"/>
      <c r="N31" s="9">
        <v>1</v>
      </c>
      <c r="O31" s="6"/>
      <c r="P31" s="6"/>
      <c r="Q31" s="9">
        <v>1</v>
      </c>
      <c r="R31" s="9">
        <v>1</v>
      </c>
      <c r="S31" s="6"/>
      <c r="T31" s="9">
        <v>1</v>
      </c>
      <c r="U31" s="9" t="s">
        <v>153</v>
      </c>
      <c r="V31" s="9" t="s">
        <v>154</v>
      </c>
      <c r="W31" s="10" t="s">
        <v>155</v>
      </c>
      <c r="X31" s="9" t="s">
        <v>47</v>
      </c>
      <c r="Y31" s="9" t="s">
        <v>40</v>
      </c>
      <c r="Z31" s="6"/>
      <c r="AA31" s="9" t="s">
        <v>41</v>
      </c>
      <c r="AB31" s="6"/>
      <c r="AC31" s="6"/>
      <c r="AD31" s="6"/>
      <c r="AE31" s="6"/>
      <c r="AF31" s="6"/>
      <c r="AG31" s="6"/>
      <c r="AH31" s="6"/>
    </row>
    <row r="32" spans="1:34" ht="15.75" customHeight="1" x14ac:dyDescent="0.25">
      <c r="A32" s="4">
        <v>45762.89203206019</v>
      </c>
      <c r="B32" s="5" t="s">
        <v>33</v>
      </c>
      <c r="C32" s="5"/>
      <c r="D32" s="5" t="s">
        <v>156</v>
      </c>
      <c r="E32" s="5"/>
      <c r="F32" s="6"/>
      <c r="G32" s="6"/>
      <c r="H32" s="5">
        <v>1</v>
      </c>
      <c r="I32" s="6"/>
      <c r="J32" s="5" t="s">
        <v>43</v>
      </c>
      <c r="K32" s="5">
        <v>1</v>
      </c>
      <c r="L32" s="6"/>
      <c r="M32" s="6"/>
      <c r="N32" s="6"/>
      <c r="O32" s="6"/>
      <c r="P32" s="6"/>
      <c r="Q32" s="6"/>
      <c r="R32" s="6"/>
      <c r="S32" s="6"/>
      <c r="T32" s="6"/>
      <c r="U32" s="5" t="s">
        <v>157</v>
      </c>
      <c r="V32" s="5" t="s">
        <v>158</v>
      </c>
      <c r="W32" s="7" t="s">
        <v>159</v>
      </c>
      <c r="X32" s="5" t="s">
        <v>39</v>
      </c>
      <c r="Y32" s="5" t="s">
        <v>51</v>
      </c>
      <c r="Z32" s="5">
        <v>33645</v>
      </c>
      <c r="AA32" s="5" t="s">
        <v>52</v>
      </c>
      <c r="AB32" s="5" t="s">
        <v>157</v>
      </c>
      <c r="AC32" s="5" t="s">
        <v>160</v>
      </c>
      <c r="AD32" s="6"/>
      <c r="AE32" s="6"/>
      <c r="AF32" s="6"/>
      <c r="AG32" s="6"/>
      <c r="AH32" s="6"/>
    </row>
    <row r="33" spans="1:34" ht="15.75" customHeight="1" x14ac:dyDescent="0.25">
      <c r="A33" s="8">
        <v>45762.904027557874</v>
      </c>
      <c r="B33" s="9" t="s">
        <v>33</v>
      </c>
      <c r="C33" s="6"/>
      <c r="D33" s="9" t="s">
        <v>161</v>
      </c>
      <c r="E33" s="6"/>
      <c r="F33" s="6"/>
      <c r="G33" s="9">
        <v>1</v>
      </c>
      <c r="H33" s="9">
        <v>1</v>
      </c>
      <c r="I33" s="9">
        <v>2</v>
      </c>
      <c r="J33" s="9" t="s">
        <v>43</v>
      </c>
      <c r="K33" s="9">
        <v>1</v>
      </c>
      <c r="L33" s="6"/>
      <c r="M33" s="6"/>
      <c r="N33" s="6"/>
      <c r="O33" s="6"/>
      <c r="P33" s="6"/>
      <c r="Q33" s="6"/>
      <c r="R33" s="6"/>
      <c r="S33" s="6"/>
      <c r="T33" s="9"/>
      <c r="U33" s="9" t="s">
        <v>162</v>
      </c>
      <c r="V33" s="9" t="s">
        <v>163</v>
      </c>
      <c r="W33" s="10" t="s">
        <v>164</v>
      </c>
      <c r="X33" s="9" t="s">
        <v>47</v>
      </c>
      <c r="Y33" s="9" t="s">
        <v>51</v>
      </c>
      <c r="Z33" s="9">
        <v>27605</v>
      </c>
      <c r="AA33" s="9" t="s">
        <v>52</v>
      </c>
      <c r="AB33" s="9" t="s">
        <v>162</v>
      </c>
      <c r="AC33" s="9" t="s">
        <v>165</v>
      </c>
      <c r="AD33" s="6"/>
      <c r="AE33" s="9"/>
      <c r="AF33" s="6"/>
      <c r="AG33" s="6"/>
      <c r="AH33" s="6"/>
    </row>
    <row r="34" spans="1:34" ht="21.75" customHeight="1" x14ac:dyDescent="0.25">
      <c r="A34" s="4">
        <v>45762.934659652776</v>
      </c>
      <c r="B34" s="5" t="s">
        <v>33</v>
      </c>
      <c r="C34" s="6"/>
      <c r="D34" s="5" t="s">
        <v>166</v>
      </c>
      <c r="E34" s="6"/>
      <c r="F34" s="6"/>
      <c r="G34" s="6"/>
      <c r="H34" s="6"/>
      <c r="I34" s="5">
        <v>2</v>
      </c>
      <c r="J34" s="5" t="s">
        <v>43</v>
      </c>
      <c r="K34" s="5">
        <v>3</v>
      </c>
      <c r="L34" s="5">
        <v>3</v>
      </c>
      <c r="M34" s="6"/>
      <c r="N34" s="6"/>
      <c r="O34" s="6"/>
      <c r="P34" s="6"/>
      <c r="Q34" s="5">
        <v>1</v>
      </c>
      <c r="R34" s="6"/>
      <c r="S34" s="6"/>
      <c r="T34" s="6"/>
      <c r="U34" s="5" t="s">
        <v>167</v>
      </c>
      <c r="V34" s="5" t="s">
        <v>168</v>
      </c>
      <c r="W34" s="7" t="s">
        <v>169</v>
      </c>
      <c r="X34" s="5" t="s">
        <v>65</v>
      </c>
      <c r="Y34" s="5" t="s">
        <v>40</v>
      </c>
      <c r="Z34" s="6"/>
      <c r="AA34" s="5" t="s">
        <v>66</v>
      </c>
      <c r="AB34" s="6"/>
      <c r="AC34" s="6"/>
      <c r="AD34" s="6"/>
      <c r="AE34" s="6"/>
      <c r="AF34" s="5" t="s">
        <v>170</v>
      </c>
      <c r="AG34" s="5"/>
      <c r="AH34" s="6"/>
    </row>
    <row r="35" spans="1:34" ht="15.75" customHeight="1" x14ac:dyDescent="0.25">
      <c r="A35" s="8">
        <v>45763.583463344912</v>
      </c>
      <c r="B35" s="9" t="s">
        <v>33</v>
      </c>
      <c r="C35" s="9">
        <v>1</v>
      </c>
      <c r="D35" s="9" t="s">
        <v>171</v>
      </c>
      <c r="E35" s="6"/>
      <c r="F35" s="6"/>
      <c r="G35" s="9">
        <v>2</v>
      </c>
      <c r="H35" s="6"/>
      <c r="I35" s="6"/>
      <c r="J35" s="9" t="s">
        <v>43</v>
      </c>
      <c r="K35" s="9">
        <v>1</v>
      </c>
      <c r="L35" s="6"/>
      <c r="M35" s="6"/>
      <c r="N35" s="6"/>
      <c r="O35" s="6"/>
      <c r="P35" s="6"/>
      <c r="Q35" s="9">
        <v>1</v>
      </c>
      <c r="R35" s="6"/>
      <c r="S35" s="6"/>
      <c r="T35" s="6"/>
      <c r="U35" s="9" t="s">
        <v>172</v>
      </c>
      <c r="V35" s="9" t="s">
        <v>173</v>
      </c>
      <c r="W35" s="10" t="s">
        <v>174</v>
      </c>
      <c r="X35" s="9" t="s">
        <v>47</v>
      </c>
      <c r="Y35" s="9" t="s">
        <v>51</v>
      </c>
      <c r="Z35" s="9">
        <v>23063</v>
      </c>
      <c r="AA35" s="9" t="s">
        <v>52</v>
      </c>
      <c r="AB35" s="9" t="s">
        <v>172</v>
      </c>
      <c r="AC35" s="9" t="s">
        <v>175</v>
      </c>
      <c r="AD35" s="6"/>
      <c r="AE35" s="6"/>
      <c r="AF35" s="6"/>
      <c r="AG35" s="9" t="s">
        <v>176</v>
      </c>
      <c r="AH35" s="6"/>
    </row>
    <row r="36" spans="1:34" ht="15.75" customHeight="1" x14ac:dyDescent="0.25">
      <c r="A36" s="4">
        <v>45763.821149004631</v>
      </c>
      <c r="B36" s="5" t="s">
        <v>71</v>
      </c>
      <c r="C36" s="6"/>
      <c r="D36" s="6"/>
      <c r="E36" s="6"/>
      <c r="F36" s="6"/>
      <c r="G36" s="5">
        <v>1</v>
      </c>
      <c r="H36" s="6"/>
      <c r="I36" s="6"/>
      <c r="J36" s="5" t="s">
        <v>35</v>
      </c>
      <c r="K36" s="6"/>
      <c r="L36" s="6"/>
      <c r="M36" s="6"/>
      <c r="N36" s="6"/>
      <c r="O36" s="6"/>
      <c r="P36" s="6"/>
      <c r="Q36" s="6"/>
      <c r="R36" s="6"/>
      <c r="S36" s="6"/>
      <c r="T36" s="6"/>
      <c r="U36" s="5" t="s">
        <v>177</v>
      </c>
      <c r="V36" s="5" t="s">
        <v>178</v>
      </c>
      <c r="W36" s="7" t="s">
        <v>179</v>
      </c>
      <c r="X36" s="5" t="s">
        <v>39</v>
      </c>
      <c r="Y36" s="5" t="s">
        <v>40</v>
      </c>
      <c r="Z36" s="6"/>
      <c r="AA36" s="5" t="s">
        <v>61</v>
      </c>
      <c r="AB36" s="6"/>
      <c r="AC36" s="6"/>
      <c r="AD36" s="6"/>
      <c r="AE36" s="6"/>
      <c r="AF36" s="6"/>
      <c r="AG36" s="6"/>
      <c r="AH36" s="6"/>
    </row>
    <row r="37" spans="1:34" ht="15.75" customHeight="1" x14ac:dyDescent="0.25">
      <c r="A37" s="8">
        <v>45764.019169918982</v>
      </c>
      <c r="B37" s="9" t="s">
        <v>33</v>
      </c>
      <c r="C37" s="6"/>
      <c r="D37" s="6"/>
      <c r="E37" s="9">
        <v>2</v>
      </c>
      <c r="F37" s="6"/>
      <c r="G37" s="6"/>
      <c r="H37" s="6"/>
      <c r="I37" s="6"/>
      <c r="J37" s="9" t="s">
        <v>35</v>
      </c>
      <c r="K37" s="6"/>
      <c r="L37" s="6"/>
      <c r="M37" s="6"/>
      <c r="N37" s="9">
        <v>1</v>
      </c>
      <c r="O37" s="6"/>
      <c r="P37" s="6"/>
      <c r="Q37" s="6"/>
      <c r="R37" s="6"/>
      <c r="S37" s="6"/>
      <c r="T37" s="6"/>
      <c r="U37" s="9" t="s">
        <v>180</v>
      </c>
      <c r="V37" s="9" t="s">
        <v>181</v>
      </c>
      <c r="W37" s="10" t="s">
        <v>182</v>
      </c>
      <c r="X37" s="9" t="s">
        <v>47</v>
      </c>
      <c r="Y37" s="9" t="s">
        <v>51</v>
      </c>
      <c r="Z37" s="9">
        <v>38640</v>
      </c>
      <c r="AA37" s="9" t="s">
        <v>52</v>
      </c>
      <c r="AB37" s="9" t="s">
        <v>180</v>
      </c>
      <c r="AC37" s="9" t="s">
        <v>183</v>
      </c>
      <c r="AD37" s="6"/>
      <c r="AE37" s="6"/>
      <c r="AF37" s="6"/>
      <c r="AG37" s="6"/>
      <c r="AH37" s="6"/>
    </row>
    <row r="38" spans="1:34" ht="15.75" customHeight="1" x14ac:dyDescent="0.25">
      <c r="A38" s="4">
        <v>45764.940210069442</v>
      </c>
      <c r="B38" s="5" t="s">
        <v>33</v>
      </c>
      <c r="C38" s="5">
        <v>1</v>
      </c>
      <c r="D38" s="6"/>
      <c r="E38" s="6"/>
      <c r="F38" s="6"/>
      <c r="G38" s="6"/>
      <c r="H38" s="6"/>
      <c r="I38" s="6"/>
      <c r="J38" s="5" t="s">
        <v>43</v>
      </c>
      <c r="K38" s="5">
        <v>1</v>
      </c>
      <c r="L38" s="6"/>
      <c r="M38" s="6"/>
      <c r="N38" s="6"/>
      <c r="O38" s="6"/>
      <c r="P38" s="6"/>
      <c r="Q38" s="6"/>
      <c r="R38" s="6"/>
      <c r="S38" s="6"/>
      <c r="T38" s="6"/>
      <c r="U38" s="5" t="s">
        <v>184</v>
      </c>
      <c r="V38" s="5" t="s">
        <v>185</v>
      </c>
      <c r="W38" s="7" t="s">
        <v>186</v>
      </c>
      <c r="X38" s="5" t="s">
        <v>65</v>
      </c>
      <c r="Y38" s="5" t="s">
        <v>40</v>
      </c>
      <c r="Z38" s="6"/>
      <c r="AA38" s="5" t="s">
        <v>61</v>
      </c>
      <c r="AB38" s="6"/>
      <c r="AC38" s="6"/>
      <c r="AD38" s="6"/>
      <c r="AE38" s="6"/>
      <c r="AF38" s="6"/>
      <c r="AG38" s="6"/>
      <c r="AH38" s="6"/>
    </row>
    <row r="39" spans="1:34" ht="15.75" customHeight="1" x14ac:dyDescent="0.25">
      <c r="A39" s="8">
        <v>45764.991757037038</v>
      </c>
      <c r="B39" s="9" t="s">
        <v>33</v>
      </c>
      <c r="C39" s="9">
        <v>1</v>
      </c>
      <c r="D39" s="6"/>
      <c r="E39" s="6"/>
      <c r="F39" s="6"/>
      <c r="G39" s="6"/>
      <c r="H39" s="6"/>
      <c r="I39" s="6"/>
      <c r="J39" s="9" t="s">
        <v>43</v>
      </c>
      <c r="K39" s="9">
        <v>1</v>
      </c>
      <c r="L39" s="9">
        <v>1</v>
      </c>
      <c r="M39" s="6"/>
      <c r="N39" s="6"/>
      <c r="O39" s="9">
        <v>1</v>
      </c>
      <c r="P39" s="6"/>
      <c r="Q39" s="6"/>
      <c r="R39" s="6"/>
      <c r="S39" s="6"/>
      <c r="T39" s="6"/>
      <c r="U39" s="9" t="s">
        <v>187</v>
      </c>
      <c r="V39" s="9" t="s">
        <v>188</v>
      </c>
      <c r="W39" s="10" t="s">
        <v>189</v>
      </c>
      <c r="X39" s="9" t="s">
        <v>65</v>
      </c>
      <c r="Y39" s="9" t="s">
        <v>40</v>
      </c>
      <c r="Z39" s="6"/>
      <c r="AA39" s="9" t="s">
        <v>66</v>
      </c>
      <c r="AB39" s="6"/>
      <c r="AC39" s="6"/>
      <c r="AD39" s="9">
        <v>3</v>
      </c>
      <c r="AE39" s="6"/>
      <c r="AF39" s="6"/>
      <c r="AG39" s="6"/>
      <c r="AH39" s="6"/>
    </row>
    <row r="40" spans="1:34" ht="15.75" customHeight="1" x14ac:dyDescent="0.25">
      <c r="A40" s="4">
        <v>45765.018549189816</v>
      </c>
      <c r="B40" s="5" t="s">
        <v>71</v>
      </c>
      <c r="C40" s="6"/>
      <c r="D40" s="6"/>
      <c r="E40" s="6"/>
      <c r="F40" s="6"/>
      <c r="G40" s="6"/>
      <c r="H40" s="6"/>
      <c r="I40" s="6"/>
      <c r="J40" s="5" t="s">
        <v>43</v>
      </c>
      <c r="K40" s="6"/>
      <c r="L40" s="5">
        <v>2</v>
      </c>
      <c r="M40" s="6"/>
      <c r="N40" s="6"/>
      <c r="O40" s="6"/>
      <c r="P40" s="6"/>
      <c r="Q40" s="6"/>
      <c r="R40" s="6"/>
      <c r="S40" s="6"/>
      <c r="T40" s="6"/>
      <c r="U40" s="5" t="s">
        <v>190</v>
      </c>
      <c r="V40" s="5" t="s">
        <v>191</v>
      </c>
      <c r="W40" s="7" t="s">
        <v>192</v>
      </c>
      <c r="X40" s="5" t="s">
        <v>47</v>
      </c>
      <c r="Y40" s="5" t="s">
        <v>40</v>
      </c>
      <c r="Z40" s="6"/>
      <c r="AA40" s="5" t="s">
        <v>41</v>
      </c>
      <c r="AB40" s="6"/>
      <c r="AC40" s="6"/>
      <c r="AD40" s="5" t="s">
        <v>193</v>
      </c>
      <c r="AE40" s="6"/>
      <c r="AF40" s="6"/>
      <c r="AG40" s="6"/>
      <c r="AH40" s="6"/>
    </row>
    <row r="41" spans="1:34" ht="15.75" customHeight="1" x14ac:dyDescent="0.25">
      <c r="A41" s="8">
        <v>45765.089671493057</v>
      </c>
      <c r="B41" s="9" t="s">
        <v>71</v>
      </c>
      <c r="C41" s="6"/>
      <c r="D41" s="6"/>
      <c r="E41" s="6"/>
      <c r="F41" s="6"/>
      <c r="G41" s="6"/>
      <c r="H41" s="6"/>
      <c r="I41" s="6"/>
      <c r="J41" s="9" t="s">
        <v>35</v>
      </c>
      <c r="K41" s="6"/>
      <c r="L41" s="6"/>
      <c r="M41" s="6"/>
      <c r="N41" s="6"/>
      <c r="O41" s="6"/>
      <c r="P41" s="6"/>
      <c r="Q41" s="9">
        <v>1</v>
      </c>
      <c r="R41" s="6"/>
      <c r="S41" s="6"/>
      <c r="T41" s="6"/>
      <c r="U41" s="9" t="s">
        <v>194</v>
      </c>
      <c r="V41" s="9" t="s">
        <v>195</v>
      </c>
      <c r="W41" s="10" t="s">
        <v>196</v>
      </c>
      <c r="X41" s="9" t="s">
        <v>65</v>
      </c>
      <c r="Y41" s="9" t="s">
        <v>40</v>
      </c>
      <c r="Z41" s="6"/>
      <c r="AA41" s="9" t="s">
        <v>66</v>
      </c>
      <c r="AB41" s="6"/>
      <c r="AC41" s="6"/>
      <c r="AD41" s="6"/>
      <c r="AE41" s="6"/>
      <c r="AF41" s="6"/>
      <c r="AG41" s="6"/>
      <c r="AH41" s="6"/>
    </row>
    <row r="42" spans="1:34" ht="15.75" customHeight="1" x14ac:dyDescent="0.25">
      <c r="A42" s="4">
        <v>45765.439536990743</v>
      </c>
      <c r="B42" s="5" t="s">
        <v>33</v>
      </c>
      <c r="C42" s="5">
        <v>4</v>
      </c>
      <c r="D42" s="6"/>
      <c r="E42" s="6"/>
      <c r="F42" s="6"/>
      <c r="G42" s="6"/>
      <c r="H42" s="6"/>
      <c r="I42" s="6"/>
      <c r="J42" s="5" t="s">
        <v>35</v>
      </c>
      <c r="K42" s="6"/>
      <c r="L42" s="6"/>
      <c r="M42" s="6"/>
      <c r="N42" s="6"/>
      <c r="O42" s="6"/>
      <c r="P42" s="5">
        <v>4</v>
      </c>
      <c r="Q42" s="6"/>
      <c r="R42" s="6"/>
      <c r="S42" s="6"/>
      <c r="T42" s="6"/>
      <c r="U42" s="5" t="s">
        <v>197</v>
      </c>
      <c r="V42" s="5" t="s">
        <v>198</v>
      </c>
      <c r="W42" s="7" t="s">
        <v>199</v>
      </c>
      <c r="X42" s="5" t="s">
        <v>65</v>
      </c>
      <c r="Y42" s="5" t="s">
        <v>40</v>
      </c>
      <c r="Z42" s="6"/>
      <c r="AA42" s="5" t="s">
        <v>61</v>
      </c>
      <c r="AB42" s="6"/>
      <c r="AC42" s="6"/>
      <c r="AD42" s="6"/>
      <c r="AE42" s="6"/>
      <c r="AF42" s="6"/>
      <c r="AG42" s="6"/>
      <c r="AH42" s="6"/>
    </row>
    <row r="43" spans="1:34" ht="15.75" customHeight="1" x14ac:dyDescent="0.25">
      <c r="A43" s="8">
        <v>45765.575577766205</v>
      </c>
      <c r="B43" s="9" t="s">
        <v>33</v>
      </c>
      <c r="C43" s="6"/>
      <c r="D43" s="6"/>
      <c r="E43" s="9">
        <v>1</v>
      </c>
      <c r="F43" s="6"/>
      <c r="G43" s="6"/>
      <c r="H43" s="6"/>
      <c r="I43" s="6"/>
      <c r="J43" s="9" t="s">
        <v>43</v>
      </c>
      <c r="K43" s="9">
        <v>1</v>
      </c>
      <c r="L43" s="6"/>
      <c r="M43" s="6"/>
      <c r="N43" s="6"/>
      <c r="O43" s="6"/>
      <c r="P43" s="6"/>
      <c r="Q43" s="6"/>
      <c r="R43" s="6"/>
      <c r="S43" s="6"/>
      <c r="T43" s="6"/>
      <c r="U43" s="9" t="s">
        <v>200</v>
      </c>
      <c r="V43" s="9" t="s">
        <v>201</v>
      </c>
      <c r="W43" s="10" t="s">
        <v>202</v>
      </c>
      <c r="X43" s="9" t="s">
        <v>47</v>
      </c>
      <c r="Y43" s="9" t="s">
        <v>51</v>
      </c>
      <c r="Z43" s="10" t="s">
        <v>203</v>
      </c>
      <c r="AA43" s="9" t="s">
        <v>52</v>
      </c>
      <c r="AB43" s="9" t="s">
        <v>200</v>
      </c>
      <c r="AC43" s="9" t="s">
        <v>204</v>
      </c>
      <c r="AD43" s="6"/>
      <c r="AE43" s="6"/>
      <c r="AF43" s="6"/>
      <c r="AG43" s="6"/>
      <c r="AH43" s="6"/>
    </row>
    <row r="44" spans="1:34" ht="15.75" customHeight="1" x14ac:dyDescent="0.25">
      <c r="A44" s="4">
        <v>45765.79110243055</v>
      </c>
      <c r="B44" s="5" t="s">
        <v>33</v>
      </c>
      <c r="C44" s="6"/>
      <c r="D44" s="6"/>
      <c r="E44" s="5">
        <v>1</v>
      </c>
      <c r="F44" s="6"/>
      <c r="G44" s="5">
        <v>1</v>
      </c>
      <c r="H44" s="6"/>
      <c r="I44" s="6"/>
      <c r="J44" s="5" t="s">
        <v>35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5" t="s">
        <v>205</v>
      </c>
      <c r="V44" s="5" t="s">
        <v>206</v>
      </c>
      <c r="W44" s="7" t="s">
        <v>207</v>
      </c>
      <c r="X44" s="5" t="s">
        <v>47</v>
      </c>
      <c r="Y44" s="5" t="s">
        <v>51</v>
      </c>
      <c r="Z44" s="5">
        <v>56840</v>
      </c>
      <c r="AA44" s="5" t="s">
        <v>41</v>
      </c>
      <c r="AB44" s="6"/>
      <c r="AC44" s="6"/>
      <c r="AD44" s="6"/>
      <c r="AE44" s="6"/>
      <c r="AF44" s="6"/>
      <c r="AG44" s="6"/>
      <c r="AH44" s="6"/>
    </row>
    <row r="45" spans="1:34" ht="15.75" customHeight="1" x14ac:dyDescent="0.25">
      <c r="A45" s="8">
        <v>45765.947451099535</v>
      </c>
      <c r="B45" s="9" t="s">
        <v>71</v>
      </c>
      <c r="C45" s="6"/>
      <c r="D45" s="6"/>
      <c r="E45" s="6"/>
      <c r="F45" s="6"/>
      <c r="G45" s="6"/>
      <c r="H45" s="6"/>
      <c r="I45" s="9">
        <v>10</v>
      </c>
      <c r="J45" s="9" t="s">
        <v>35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9" t="s">
        <v>208</v>
      </c>
      <c r="V45" s="9" t="s">
        <v>209</v>
      </c>
      <c r="W45" s="10" t="s">
        <v>210</v>
      </c>
      <c r="X45" s="9" t="s">
        <v>47</v>
      </c>
      <c r="Y45" s="9" t="s">
        <v>51</v>
      </c>
      <c r="Z45" s="9">
        <v>13743</v>
      </c>
      <c r="AA45" s="9" t="s">
        <v>52</v>
      </c>
      <c r="AB45" s="9" t="s">
        <v>208</v>
      </c>
      <c r="AC45" s="9" t="s">
        <v>211</v>
      </c>
      <c r="AD45" s="6"/>
      <c r="AE45" s="6"/>
      <c r="AF45" s="6"/>
      <c r="AG45" s="6"/>
      <c r="AH45" s="6"/>
    </row>
    <row r="46" spans="1:34" ht="15.75" customHeight="1" x14ac:dyDescent="0.25">
      <c r="A46" s="4">
        <v>45766.33329091435</v>
      </c>
      <c r="B46" s="5" t="s">
        <v>33</v>
      </c>
      <c r="C46" s="5">
        <v>8</v>
      </c>
      <c r="D46" s="5" t="s">
        <v>212</v>
      </c>
      <c r="E46" s="6"/>
      <c r="F46" s="6"/>
      <c r="G46" s="6"/>
      <c r="H46" s="5">
        <v>1</v>
      </c>
      <c r="I46" s="6"/>
      <c r="J46" s="5" t="s">
        <v>35</v>
      </c>
      <c r="K46" s="6"/>
      <c r="L46" s="6"/>
      <c r="M46" s="6"/>
      <c r="N46" s="6"/>
      <c r="O46" s="6"/>
      <c r="P46" s="6"/>
      <c r="Q46" s="6"/>
      <c r="R46" s="6"/>
      <c r="S46" s="6"/>
      <c r="T46" s="5"/>
      <c r="U46" s="5" t="s">
        <v>213</v>
      </c>
      <c r="V46" s="5" t="s">
        <v>214</v>
      </c>
      <c r="W46" s="7" t="s">
        <v>215</v>
      </c>
      <c r="X46" s="5" t="s">
        <v>47</v>
      </c>
      <c r="Y46" s="5" t="s">
        <v>40</v>
      </c>
      <c r="Z46" s="6"/>
      <c r="AA46" s="5" t="s">
        <v>133</v>
      </c>
      <c r="AB46" s="6"/>
      <c r="AC46" s="6"/>
      <c r="AD46" s="5">
        <v>1</v>
      </c>
      <c r="AE46" s="6"/>
      <c r="AF46" s="6"/>
      <c r="AG46" s="5" t="s">
        <v>212</v>
      </c>
      <c r="AH46" s="6"/>
    </row>
    <row r="47" spans="1:34" ht="15.75" customHeight="1" x14ac:dyDescent="0.25">
      <c r="A47" s="8">
        <v>45766.540413310184</v>
      </c>
      <c r="B47" s="9" t="s">
        <v>33</v>
      </c>
      <c r="C47" s="9">
        <v>1</v>
      </c>
      <c r="D47" s="6"/>
      <c r="E47" s="6"/>
      <c r="F47" s="6"/>
      <c r="G47" s="6"/>
      <c r="H47" s="9">
        <v>1</v>
      </c>
      <c r="I47" s="6"/>
      <c r="J47" s="9" t="s">
        <v>35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9" t="s">
        <v>216</v>
      </c>
      <c r="V47" s="9" t="s">
        <v>217</v>
      </c>
      <c r="W47" s="10" t="s">
        <v>218</v>
      </c>
      <c r="X47" s="9" t="s">
        <v>39</v>
      </c>
      <c r="Y47" s="9" t="s">
        <v>51</v>
      </c>
      <c r="Z47" s="9">
        <v>29149</v>
      </c>
      <c r="AA47" s="9" t="s">
        <v>52</v>
      </c>
      <c r="AB47" s="9" t="s">
        <v>216</v>
      </c>
      <c r="AC47" s="9" t="s">
        <v>219</v>
      </c>
      <c r="AD47" s="6"/>
      <c r="AE47" s="6"/>
      <c r="AF47" s="6"/>
      <c r="AG47" s="6"/>
      <c r="AH47" s="6"/>
    </row>
    <row r="48" spans="1:34" ht="15.75" customHeight="1" x14ac:dyDescent="0.25">
      <c r="A48" s="4">
        <v>45766.546738715275</v>
      </c>
      <c r="B48" s="5" t="s">
        <v>33</v>
      </c>
      <c r="C48" s="5">
        <v>2</v>
      </c>
      <c r="D48" s="6"/>
      <c r="E48" s="6"/>
      <c r="F48" s="6"/>
      <c r="G48" s="5">
        <v>1</v>
      </c>
      <c r="H48" s="6"/>
      <c r="I48" s="5">
        <v>1</v>
      </c>
      <c r="J48" s="5" t="s">
        <v>43</v>
      </c>
      <c r="K48" s="5">
        <v>2</v>
      </c>
      <c r="L48" s="6"/>
      <c r="M48" s="6"/>
      <c r="N48" s="6"/>
      <c r="O48" s="6"/>
      <c r="P48" s="6"/>
      <c r="Q48" s="6"/>
      <c r="R48" s="6"/>
      <c r="S48" s="6"/>
      <c r="T48" s="6"/>
      <c r="U48" s="5" t="s">
        <v>220</v>
      </c>
      <c r="V48" s="5" t="s">
        <v>221</v>
      </c>
      <c r="W48" s="7" t="s">
        <v>222</v>
      </c>
      <c r="X48" s="5" t="s">
        <v>47</v>
      </c>
      <c r="Y48" s="5" t="s">
        <v>51</v>
      </c>
      <c r="Z48" s="5">
        <v>33409</v>
      </c>
      <c r="AA48" s="5" t="s">
        <v>52</v>
      </c>
      <c r="AB48" s="5" t="s">
        <v>223</v>
      </c>
      <c r="AC48" s="5" t="s">
        <v>224</v>
      </c>
      <c r="AD48" s="6"/>
      <c r="AE48" s="6"/>
      <c r="AF48" s="6"/>
      <c r="AG48" s="6"/>
      <c r="AH48" s="6"/>
    </row>
    <row r="49" spans="1:34" ht="15.75" customHeight="1" x14ac:dyDescent="0.25">
      <c r="A49" s="8">
        <v>45766.567264467594</v>
      </c>
      <c r="B49" s="9" t="s">
        <v>71</v>
      </c>
      <c r="C49" s="6"/>
      <c r="D49" s="6"/>
      <c r="E49" s="6"/>
      <c r="F49" s="6"/>
      <c r="G49" s="6"/>
      <c r="H49" s="6"/>
      <c r="I49" s="6"/>
      <c r="J49" s="9" t="s">
        <v>35</v>
      </c>
      <c r="K49" s="6"/>
      <c r="L49" s="6"/>
      <c r="M49" s="6"/>
      <c r="N49" s="9">
        <v>1</v>
      </c>
      <c r="O49" s="6"/>
      <c r="P49" s="6"/>
      <c r="Q49" s="6"/>
      <c r="R49" s="6"/>
      <c r="S49" s="6"/>
      <c r="T49" s="6"/>
      <c r="U49" s="9" t="s">
        <v>225</v>
      </c>
      <c r="V49" s="9" t="s">
        <v>226</v>
      </c>
      <c r="W49" s="10" t="s">
        <v>227</v>
      </c>
      <c r="X49" s="9" t="s">
        <v>47</v>
      </c>
      <c r="Y49" s="9" t="s">
        <v>51</v>
      </c>
      <c r="Z49" s="9" t="s">
        <v>228</v>
      </c>
      <c r="AA49" s="9" t="s">
        <v>52</v>
      </c>
      <c r="AB49" s="9" t="s">
        <v>225</v>
      </c>
      <c r="AC49" s="9" t="s">
        <v>229</v>
      </c>
      <c r="AD49" s="6"/>
      <c r="AE49" s="6"/>
      <c r="AF49" s="6"/>
      <c r="AG49" s="6"/>
      <c r="AH49" s="6"/>
    </row>
    <row r="50" spans="1:34" ht="15.75" customHeight="1" x14ac:dyDescent="0.25">
      <c r="A50" s="4">
        <v>45766.570883506945</v>
      </c>
      <c r="B50" s="5" t="s">
        <v>33</v>
      </c>
      <c r="C50" s="6"/>
      <c r="D50" s="6"/>
      <c r="E50" s="6"/>
      <c r="F50" s="6"/>
      <c r="G50" s="6"/>
      <c r="H50" s="5">
        <v>1</v>
      </c>
      <c r="I50" s="6"/>
      <c r="J50" s="5" t="s">
        <v>35</v>
      </c>
      <c r="K50" s="6"/>
      <c r="L50" s="6"/>
      <c r="M50" s="6"/>
      <c r="N50" s="5">
        <v>1</v>
      </c>
      <c r="O50" s="6"/>
      <c r="P50" s="6"/>
      <c r="Q50" s="6"/>
      <c r="R50" s="6"/>
      <c r="S50" s="6"/>
      <c r="T50" s="6"/>
      <c r="U50" s="5" t="s">
        <v>225</v>
      </c>
      <c r="V50" s="5" t="s">
        <v>226</v>
      </c>
      <c r="W50" s="7" t="s">
        <v>227</v>
      </c>
      <c r="X50" s="5" t="s">
        <v>47</v>
      </c>
      <c r="Y50" s="5" t="s">
        <v>51</v>
      </c>
      <c r="Z50" s="5" t="s">
        <v>228</v>
      </c>
      <c r="AA50" s="5" t="s">
        <v>52</v>
      </c>
      <c r="AB50" s="5" t="s">
        <v>225</v>
      </c>
      <c r="AC50" s="5" t="s">
        <v>229</v>
      </c>
      <c r="AD50" s="6"/>
      <c r="AE50" s="6"/>
      <c r="AF50" s="6"/>
      <c r="AG50" s="5" t="s">
        <v>230</v>
      </c>
      <c r="AH50" s="6"/>
    </row>
    <row r="51" spans="1:34" ht="15.75" customHeight="1" x14ac:dyDescent="0.25">
      <c r="A51" s="8">
        <v>45766.599413958334</v>
      </c>
      <c r="B51" s="9" t="s">
        <v>33</v>
      </c>
      <c r="C51" s="9">
        <v>1</v>
      </c>
      <c r="D51" s="6"/>
      <c r="E51" s="6"/>
      <c r="F51" s="6"/>
      <c r="G51" s="6"/>
      <c r="H51" s="9">
        <v>1</v>
      </c>
      <c r="I51" s="6"/>
      <c r="J51" s="9" t="s">
        <v>35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9" t="s">
        <v>231</v>
      </c>
      <c r="V51" s="9" t="s">
        <v>232</v>
      </c>
      <c r="W51" s="10" t="s">
        <v>233</v>
      </c>
      <c r="X51" s="9" t="s">
        <v>47</v>
      </c>
      <c r="Y51" s="9" t="s">
        <v>51</v>
      </c>
      <c r="Z51" s="9">
        <v>20536</v>
      </c>
      <c r="AA51" s="9" t="s">
        <v>52</v>
      </c>
      <c r="AB51" s="9" t="s">
        <v>231</v>
      </c>
      <c r="AC51" s="9" t="s">
        <v>234</v>
      </c>
      <c r="AD51" s="9">
        <v>1</v>
      </c>
      <c r="AE51" s="6"/>
      <c r="AF51" s="6"/>
      <c r="AG51" s="6"/>
      <c r="AH51" s="6"/>
    </row>
    <row r="52" spans="1:34" ht="15.75" customHeight="1" x14ac:dyDescent="0.25">
      <c r="A52" s="4">
        <v>45766.619942037039</v>
      </c>
      <c r="B52" s="5" t="s">
        <v>71</v>
      </c>
      <c r="C52" s="6"/>
      <c r="D52" s="6"/>
      <c r="E52" s="6"/>
      <c r="F52" s="6"/>
      <c r="G52" s="6"/>
      <c r="H52" s="6"/>
      <c r="I52" s="6"/>
      <c r="J52" s="5" t="s">
        <v>43</v>
      </c>
      <c r="K52" s="5">
        <v>0</v>
      </c>
      <c r="L52" s="5">
        <v>1</v>
      </c>
      <c r="M52" s="6"/>
      <c r="N52" s="6"/>
      <c r="O52" s="6"/>
      <c r="P52" s="6"/>
      <c r="Q52" s="6"/>
      <c r="R52" s="6"/>
      <c r="S52" s="5">
        <v>1</v>
      </c>
      <c r="T52" s="6"/>
      <c r="U52" s="5" t="s">
        <v>235</v>
      </c>
      <c r="V52" s="5" t="s">
        <v>236</v>
      </c>
      <c r="W52" s="7" t="s">
        <v>237</v>
      </c>
      <c r="X52" s="5" t="s">
        <v>65</v>
      </c>
      <c r="Y52" s="5" t="s">
        <v>40</v>
      </c>
      <c r="Z52" s="6"/>
      <c r="AA52" s="5" t="s">
        <v>61</v>
      </c>
      <c r="AB52" s="6"/>
      <c r="AC52" s="6"/>
      <c r="AD52" s="6"/>
      <c r="AE52" s="6"/>
      <c r="AF52" s="6"/>
      <c r="AG52" s="6"/>
      <c r="AH52" s="6"/>
    </row>
    <row r="53" spans="1:34" ht="15.75" customHeight="1" x14ac:dyDescent="0.25">
      <c r="A53" s="8">
        <v>45766.621053553245</v>
      </c>
      <c r="B53" s="9" t="s">
        <v>33</v>
      </c>
      <c r="C53" s="6"/>
      <c r="D53" s="9">
        <v>2</v>
      </c>
      <c r="E53" s="9">
        <v>1</v>
      </c>
      <c r="F53" s="6"/>
      <c r="G53" s="9">
        <v>2</v>
      </c>
      <c r="H53" s="6"/>
      <c r="I53" s="9">
        <v>1</v>
      </c>
      <c r="J53" s="9" t="s">
        <v>43</v>
      </c>
      <c r="K53" s="9">
        <v>2</v>
      </c>
      <c r="L53" s="6"/>
      <c r="M53" s="9">
        <v>1</v>
      </c>
      <c r="N53" s="6"/>
      <c r="O53" s="6"/>
      <c r="P53" s="6"/>
      <c r="Q53" s="6"/>
      <c r="R53" s="6"/>
      <c r="S53" s="6"/>
      <c r="T53" s="6"/>
      <c r="U53" s="9" t="s">
        <v>238</v>
      </c>
      <c r="V53" s="9" t="s">
        <v>239</v>
      </c>
      <c r="W53" s="10" t="s">
        <v>240</v>
      </c>
      <c r="X53" s="9" t="s">
        <v>65</v>
      </c>
      <c r="Y53" s="9" t="s">
        <v>51</v>
      </c>
      <c r="Z53" s="10" t="s">
        <v>241</v>
      </c>
      <c r="AA53" s="9" t="s">
        <v>52</v>
      </c>
      <c r="AB53" s="9" t="s">
        <v>242</v>
      </c>
      <c r="AC53" s="9" t="s">
        <v>243</v>
      </c>
      <c r="AD53" s="6"/>
      <c r="AE53" s="6"/>
      <c r="AF53" s="6"/>
      <c r="AG53" s="9" t="s">
        <v>244</v>
      </c>
      <c r="AH53" s="6"/>
    </row>
    <row r="54" spans="1:34" ht="15.75" customHeight="1" x14ac:dyDescent="0.25">
      <c r="A54" s="4">
        <v>45766.83713104167</v>
      </c>
      <c r="B54" s="5" t="s">
        <v>33</v>
      </c>
      <c r="C54" s="6"/>
      <c r="D54" s="5">
        <v>1</v>
      </c>
      <c r="E54" s="5">
        <v>1</v>
      </c>
      <c r="F54" s="6"/>
      <c r="G54" s="5">
        <v>1</v>
      </c>
      <c r="H54" s="6"/>
      <c r="I54" s="5">
        <v>3</v>
      </c>
      <c r="J54" s="5" t="s">
        <v>43</v>
      </c>
      <c r="K54" s="5">
        <v>1</v>
      </c>
      <c r="L54" s="5">
        <v>1</v>
      </c>
      <c r="M54" s="6"/>
      <c r="N54" s="6"/>
      <c r="O54" s="6"/>
      <c r="P54" s="6"/>
      <c r="Q54" s="6"/>
      <c r="R54" s="6"/>
      <c r="S54" s="6"/>
      <c r="T54" s="6"/>
      <c r="U54" s="5" t="s">
        <v>245</v>
      </c>
      <c r="V54" s="5" t="s">
        <v>246</v>
      </c>
      <c r="W54" s="7" t="s">
        <v>247</v>
      </c>
      <c r="X54" s="5" t="s">
        <v>47</v>
      </c>
      <c r="Y54" s="5" t="s">
        <v>40</v>
      </c>
      <c r="Z54" s="6"/>
      <c r="AA54" s="5" t="s">
        <v>52</v>
      </c>
      <c r="AB54" s="5" t="s">
        <v>245</v>
      </c>
      <c r="AC54" s="5" t="s">
        <v>248</v>
      </c>
      <c r="AD54" s="6"/>
      <c r="AE54" s="6"/>
      <c r="AF54" s="6"/>
      <c r="AG54" s="5" t="s">
        <v>249</v>
      </c>
      <c r="AH54" s="6"/>
    </row>
    <row r="55" spans="1:34" ht="15.75" customHeight="1" x14ac:dyDescent="0.25">
      <c r="A55" s="8">
        <v>45766.929748599534</v>
      </c>
      <c r="B55" s="9" t="s">
        <v>71</v>
      </c>
      <c r="C55" s="6"/>
      <c r="D55" s="6"/>
      <c r="E55" s="6"/>
      <c r="F55" s="6"/>
      <c r="G55" s="6"/>
      <c r="H55" s="9">
        <v>1</v>
      </c>
      <c r="I55" s="9">
        <v>1</v>
      </c>
      <c r="J55" s="9" t="s">
        <v>43</v>
      </c>
      <c r="K55" s="9">
        <v>1</v>
      </c>
      <c r="L55" s="6"/>
      <c r="M55" s="6"/>
      <c r="N55" s="6"/>
      <c r="O55" s="6"/>
      <c r="P55" s="6"/>
      <c r="Q55" s="9">
        <v>1</v>
      </c>
      <c r="R55" s="6"/>
      <c r="S55" s="6"/>
      <c r="T55" s="6"/>
      <c r="U55" s="9" t="s">
        <v>250</v>
      </c>
      <c r="V55" s="9" t="s">
        <v>251</v>
      </c>
      <c r="W55" s="10" t="s">
        <v>252</v>
      </c>
      <c r="X55" s="9" t="s">
        <v>47</v>
      </c>
      <c r="Y55" s="9" t="s">
        <v>40</v>
      </c>
      <c r="Z55" s="6"/>
      <c r="AA55" s="9" t="s">
        <v>41</v>
      </c>
      <c r="AB55" s="6"/>
      <c r="AC55" s="6"/>
      <c r="AD55" s="6"/>
      <c r="AE55" s="6"/>
      <c r="AF55" s="6"/>
      <c r="AG55" s="6"/>
      <c r="AH55" s="6"/>
    </row>
    <row r="56" spans="1:34" ht="15.75" customHeight="1" x14ac:dyDescent="0.25">
      <c r="A56" s="4">
        <v>45766.93208515046</v>
      </c>
      <c r="B56" s="5" t="s">
        <v>33</v>
      </c>
      <c r="C56" s="6"/>
      <c r="D56" s="5">
        <v>7</v>
      </c>
      <c r="E56" s="6"/>
      <c r="F56" s="6"/>
      <c r="G56" s="6"/>
      <c r="H56" s="6"/>
      <c r="I56" s="5">
        <v>7</v>
      </c>
      <c r="J56" s="5" t="s">
        <v>43</v>
      </c>
      <c r="K56" s="6"/>
      <c r="L56" s="5">
        <v>7</v>
      </c>
      <c r="M56" s="6"/>
      <c r="N56" s="6"/>
      <c r="O56" s="6"/>
      <c r="P56" s="5">
        <v>7</v>
      </c>
      <c r="Q56" s="6"/>
      <c r="R56" s="6"/>
      <c r="S56" s="6"/>
      <c r="T56" s="6"/>
      <c r="U56" s="5" t="s">
        <v>253</v>
      </c>
      <c r="V56" s="5" t="s">
        <v>254</v>
      </c>
      <c r="W56" s="7" t="s">
        <v>255</v>
      </c>
      <c r="X56" s="5" t="s">
        <v>143</v>
      </c>
      <c r="Y56" s="5" t="s">
        <v>51</v>
      </c>
      <c r="Z56" s="5">
        <v>52817</v>
      </c>
      <c r="AA56" s="5" t="s">
        <v>52</v>
      </c>
      <c r="AB56" s="5" t="s">
        <v>253</v>
      </c>
      <c r="AC56" s="5" t="s">
        <v>256</v>
      </c>
      <c r="AD56" s="6"/>
      <c r="AE56" s="6"/>
      <c r="AF56" s="5" t="s">
        <v>257</v>
      </c>
      <c r="AG56" s="5" t="s">
        <v>258</v>
      </c>
      <c r="AH56" s="6"/>
    </row>
    <row r="57" spans="1:34" ht="15.75" customHeight="1" x14ac:dyDescent="0.25">
      <c r="A57" s="8">
        <v>45766.943103287034</v>
      </c>
      <c r="B57" s="9" t="s">
        <v>71</v>
      </c>
      <c r="C57" s="6"/>
      <c r="D57" s="6"/>
      <c r="E57" s="6"/>
      <c r="F57" s="6"/>
      <c r="G57" s="6"/>
      <c r="H57" s="6"/>
      <c r="I57" s="6"/>
      <c r="J57" s="9" t="s">
        <v>43</v>
      </c>
      <c r="K57" s="9">
        <v>1</v>
      </c>
      <c r="L57" s="6"/>
      <c r="M57" s="6"/>
      <c r="N57" s="9">
        <v>1</v>
      </c>
      <c r="O57" s="6"/>
      <c r="P57" s="6"/>
      <c r="Q57" s="9">
        <v>1</v>
      </c>
      <c r="R57" s="6"/>
      <c r="S57" s="6"/>
      <c r="T57" s="6"/>
      <c r="U57" s="9" t="s">
        <v>259</v>
      </c>
      <c r="V57" s="9" t="s">
        <v>260</v>
      </c>
      <c r="W57" s="10" t="s">
        <v>261</v>
      </c>
      <c r="X57" s="9" t="s">
        <v>65</v>
      </c>
      <c r="Y57" s="9" t="s">
        <v>40</v>
      </c>
      <c r="Z57" s="6"/>
      <c r="AA57" s="9" t="s">
        <v>66</v>
      </c>
      <c r="AB57" s="6"/>
      <c r="AC57" s="6"/>
      <c r="AD57" s="6"/>
      <c r="AE57" s="6"/>
      <c r="AF57" s="6"/>
      <c r="AG57" s="6"/>
      <c r="AH57" s="6"/>
    </row>
    <row r="58" spans="1:34" ht="15.75" customHeight="1" x14ac:dyDescent="0.25">
      <c r="A58" s="4">
        <v>45766.955342743051</v>
      </c>
      <c r="B58" s="5" t="s">
        <v>33</v>
      </c>
      <c r="C58" s="5">
        <v>1</v>
      </c>
      <c r="D58" s="5">
        <v>1</v>
      </c>
      <c r="E58" s="6"/>
      <c r="F58" s="6"/>
      <c r="G58" s="6"/>
      <c r="H58" s="6"/>
      <c r="I58" s="6"/>
      <c r="J58" s="5" t="s">
        <v>43</v>
      </c>
      <c r="K58" s="5">
        <v>1</v>
      </c>
      <c r="L58" s="5">
        <v>1</v>
      </c>
      <c r="M58" s="6"/>
      <c r="N58" s="6"/>
      <c r="O58" s="6"/>
      <c r="P58" s="6"/>
      <c r="Q58" s="6"/>
      <c r="R58" s="6"/>
      <c r="S58" s="6"/>
      <c r="T58" s="6"/>
      <c r="U58" s="5" t="s">
        <v>262</v>
      </c>
      <c r="V58" s="5" t="s">
        <v>263</v>
      </c>
      <c r="W58" s="7" t="s">
        <v>264</v>
      </c>
      <c r="X58" s="5" t="s">
        <v>47</v>
      </c>
      <c r="Y58" s="5" t="s">
        <v>40</v>
      </c>
      <c r="Z58" s="6"/>
      <c r="AA58" s="5" t="s">
        <v>41</v>
      </c>
      <c r="AB58" s="6"/>
      <c r="AC58" s="6"/>
      <c r="AD58" s="6"/>
      <c r="AE58" s="6"/>
      <c r="AF58" s="6"/>
      <c r="AG58" s="5" t="s">
        <v>265</v>
      </c>
      <c r="AH58" s="6"/>
    </row>
    <row r="59" spans="1:34" ht="15.75" customHeight="1" x14ac:dyDescent="0.25">
      <c r="A59" s="8">
        <v>45767.03678638889</v>
      </c>
      <c r="B59" s="9" t="s">
        <v>33</v>
      </c>
      <c r="C59" s="6"/>
      <c r="D59" s="6"/>
      <c r="E59" s="9">
        <v>1</v>
      </c>
      <c r="F59" s="6"/>
      <c r="G59" s="6"/>
      <c r="H59" s="6"/>
      <c r="I59" s="6"/>
      <c r="J59" s="9" t="s">
        <v>35</v>
      </c>
      <c r="K59" s="6"/>
      <c r="L59" s="6"/>
      <c r="M59" s="6"/>
      <c r="N59" s="6"/>
      <c r="O59" s="6"/>
      <c r="P59" s="6"/>
      <c r="Q59" s="6"/>
      <c r="R59" s="6"/>
      <c r="S59" s="6"/>
      <c r="T59" s="6"/>
      <c r="U59" s="9" t="s">
        <v>266</v>
      </c>
      <c r="V59" s="9" t="s">
        <v>267</v>
      </c>
      <c r="W59" s="10" t="s">
        <v>268</v>
      </c>
      <c r="X59" s="9" t="s">
        <v>47</v>
      </c>
      <c r="Y59" s="9" t="s">
        <v>40</v>
      </c>
      <c r="Z59" s="6"/>
      <c r="AA59" s="9" t="s">
        <v>66</v>
      </c>
      <c r="AB59" s="6"/>
      <c r="AC59" s="6"/>
      <c r="AD59" s="6"/>
      <c r="AE59" s="6"/>
      <c r="AF59" s="6"/>
      <c r="AG59" s="6"/>
      <c r="AH59" s="6"/>
    </row>
    <row r="60" spans="1:34" ht="15.75" customHeight="1" x14ac:dyDescent="0.25">
      <c r="A60" s="4">
        <v>45767.444241550926</v>
      </c>
      <c r="B60" s="5" t="s">
        <v>71</v>
      </c>
      <c r="C60" s="6"/>
      <c r="D60" s="6"/>
      <c r="E60" s="6"/>
      <c r="F60" s="6"/>
      <c r="G60" s="5">
        <v>1</v>
      </c>
      <c r="H60" s="6"/>
      <c r="I60" s="5">
        <v>1</v>
      </c>
      <c r="J60" s="5" t="s">
        <v>43</v>
      </c>
      <c r="K60" s="6"/>
      <c r="L60" s="5">
        <v>1</v>
      </c>
      <c r="M60" s="5">
        <v>1</v>
      </c>
      <c r="N60" s="6"/>
      <c r="O60" s="6"/>
      <c r="P60" s="6"/>
      <c r="Q60" s="6"/>
      <c r="R60" s="6"/>
      <c r="S60" s="6"/>
      <c r="T60" s="6"/>
      <c r="U60" s="5" t="s">
        <v>269</v>
      </c>
      <c r="V60" s="5" t="s">
        <v>270</v>
      </c>
      <c r="W60" s="7" t="s">
        <v>271</v>
      </c>
      <c r="X60" s="5" t="s">
        <v>47</v>
      </c>
      <c r="Y60" s="5" t="s">
        <v>51</v>
      </c>
      <c r="Z60" s="5">
        <v>66456</v>
      </c>
      <c r="AA60" s="5" t="s">
        <v>52</v>
      </c>
      <c r="AB60" s="5" t="s">
        <v>269</v>
      </c>
      <c r="AC60" s="5" t="s">
        <v>272</v>
      </c>
      <c r="AD60" s="6"/>
      <c r="AE60" s="6"/>
      <c r="AF60" s="6"/>
      <c r="AG60" s="6"/>
      <c r="AH60" s="6"/>
    </row>
    <row r="61" spans="1:34" ht="15.75" customHeight="1" x14ac:dyDescent="0.25">
      <c r="A61" s="8">
        <v>45767.44592356481</v>
      </c>
      <c r="B61" s="9" t="s">
        <v>33</v>
      </c>
      <c r="C61" s="6"/>
      <c r="D61" s="6"/>
      <c r="E61" s="9">
        <v>4</v>
      </c>
      <c r="F61" s="6"/>
      <c r="G61" s="6"/>
      <c r="H61" s="6"/>
      <c r="I61" s="6"/>
      <c r="J61" s="9" t="s">
        <v>43</v>
      </c>
      <c r="K61" s="9">
        <v>1</v>
      </c>
      <c r="L61" s="9">
        <v>3</v>
      </c>
      <c r="M61" s="6"/>
      <c r="N61" s="6"/>
      <c r="O61" s="6"/>
      <c r="P61" s="6"/>
      <c r="Q61" s="6"/>
      <c r="R61" s="6"/>
      <c r="S61" s="6"/>
      <c r="T61" s="6"/>
      <c r="U61" s="9" t="s">
        <v>273</v>
      </c>
      <c r="V61" s="9" t="s">
        <v>274</v>
      </c>
      <c r="W61" s="10" t="s">
        <v>155</v>
      </c>
      <c r="X61" s="9" t="s">
        <v>47</v>
      </c>
      <c r="Y61" s="9" t="s">
        <v>40</v>
      </c>
      <c r="Z61" s="6"/>
      <c r="AA61" s="9" t="s">
        <v>41</v>
      </c>
      <c r="AB61" s="6"/>
      <c r="AC61" s="6"/>
      <c r="AD61" s="6"/>
      <c r="AE61" s="6"/>
      <c r="AF61" s="6"/>
      <c r="AG61" s="6"/>
      <c r="AH61" s="6"/>
    </row>
    <row r="62" spans="1:34" ht="15.75" customHeight="1" x14ac:dyDescent="0.25">
      <c r="A62" s="4">
        <v>45767.528737974542</v>
      </c>
      <c r="B62" s="5" t="s">
        <v>71</v>
      </c>
      <c r="C62" s="6"/>
      <c r="D62" s="6"/>
      <c r="E62" s="6"/>
      <c r="F62" s="6"/>
      <c r="G62" s="6"/>
      <c r="H62" s="6"/>
      <c r="I62" s="5">
        <v>12</v>
      </c>
      <c r="J62" s="5" t="s">
        <v>43</v>
      </c>
      <c r="K62" s="5">
        <v>8</v>
      </c>
      <c r="L62" s="5">
        <v>4</v>
      </c>
      <c r="M62" s="6"/>
      <c r="N62" s="6"/>
      <c r="O62" s="6"/>
      <c r="P62" s="6"/>
      <c r="Q62" s="6"/>
      <c r="R62" s="6"/>
      <c r="S62" s="6"/>
      <c r="T62" s="6"/>
      <c r="U62" s="5" t="s">
        <v>275</v>
      </c>
      <c r="V62" s="5" t="s">
        <v>276</v>
      </c>
      <c r="W62" s="7" t="s">
        <v>277</v>
      </c>
      <c r="X62" s="5" t="s">
        <v>65</v>
      </c>
      <c r="Y62" s="5" t="s">
        <v>40</v>
      </c>
      <c r="Z62" s="6"/>
      <c r="AA62" s="5" t="s">
        <v>66</v>
      </c>
      <c r="AB62" s="6"/>
      <c r="AC62" s="6"/>
      <c r="AD62" s="6"/>
      <c r="AE62" s="6"/>
      <c r="AF62" s="5" t="s">
        <v>278</v>
      </c>
      <c r="AG62" s="6"/>
      <c r="AH62" s="6"/>
    </row>
    <row r="63" spans="1:34" ht="15.75" customHeight="1" x14ac:dyDescent="0.25">
      <c r="A63" s="8">
        <v>45767.571040590279</v>
      </c>
      <c r="B63" s="9" t="s">
        <v>33</v>
      </c>
      <c r="C63" s="9">
        <v>2</v>
      </c>
      <c r="D63" s="6"/>
      <c r="E63" s="6"/>
      <c r="F63" s="6"/>
      <c r="G63" s="9">
        <v>1</v>
      </c>
      <c r="H63" s="9">
        <v>1</v>
      </c>
      <c r="I63" s="6"/>
      <c r="J63" s="9" t="s">
        <v>35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9" t="s">
        <v>279</v>
      </c>
      <c r="V63" s="9" t="s">
        <v>280</v>
      </c>
      <c r="W63" s="10" t="s">
        <v>281</v>
      </c>
      <c r="X63" s="9" t="s">
        <v>47</v>
      </c>
      <c r="Y63" s="9" t="s">
        <v>51</v>
      </c>
      <c r="Z63" s="9">
        <v>85105</v>
      </c>
      <c r="AA63" s="9" t="s">
        <v>52</v>
      </c>
      <c r="AB63" s="9" t="s">
        <v>279</v>
      </c>
      <c r="AC63" s="9" t="s">
        <v>282</v>
      </c>
      <c r="AD63" s="6"/>
      <c r="AE63" s="6"/>
      <c r="AF63" s="9" t="s">
        <v>283</v>
      </c>
      <c r="AG63" s="6"/>
      <c r="AH63" s="6"/>
    </row>
    <row r="64" spans="1:34" ht="15.75" customHeight="1" x14ac:dyDescent="0.25">
      <c r="A64" s="4">
        <v>45767.608364618056</v>
      </c>
      <c r="B64" s="5" t="s">
        <v>33</v>
      </c>
      <c r="C64" s="5">
        <v>2</v>
      </c>
      <c r="D64" s="6"/>
      <c r="E64" s="6"/>
      <c r="F64" s="6"/>
      <c r="G64" s="6"/>
      <c r="H64" s="6"/>
      <c r="I64" s="6"/>
      <c r="J64" s="5" t="s">
        <v>35</v>
      </c>
      <c r="K64" s="6"/>
      <c r="L64" s="6"/>
      <c r="M64" s="6"/>
      <c r="N64" s="6"/>
      <c r="O64" s="6"/>
      <c r="P64" s="6"/>
      <c r="Q64" s="6"/>
      <c r="R64" s="6"/>
      <c r="S64" s="6"/>
      <c r="T64" s="6"/>
      <c r="U64" s="5" t="s">
        <v>284</v>
      </c>
      <c r="V64" s="5" t="s">
        <v>285</v>
      </c>
      <c r="W64" s="7" t="s">
        <v>286</v>
      </c>
      <c r="X64" s="5" t="s">
        <v>47</v>
      </c>
      <c r="Y64" s="5" t="s">
        <v>51</v>
      </c>
      <c r="Z64" s="7" t="s">
        <v>287</v>
      </c>
      <c r="AA64" s="5" t="s">
        <v>41</v>
      </c>
      <c r="AB64" s="6"/>
      <c r="AC64" s="6"/>
      <c r="AD64" s="6"/>
      <c r="AE64" s="6"/>
      <c r="AF64" s="5" t="s">
        <v>288</v>
      </c>
      <c r="AG64" s="6"/>
      <c r="AH64" s="6"/>
    </row>
    <row r="65" spans="1:34" ht="15.75" customHeight="1" x14ac:dyDescent="0.25">
      <c r="A65" s="8">
        <v>45767.69119474537</v>
      </c>
      <c r="B65" s="9" t="s">
        <v>33</v>
      </c>
      <c r="C65" s="9">
        <v>5</v>
      </c>
      <c r="D65" s="6"/>
      <c r="E65" s="6"/>
      <c r="F65" s="6"/>
      <c r="G65" s="6"/>
      <c r="H65" s="6"/>
      <c r="I65" s="9">
        <v>5</v>
      </c>
      <c r="J65" s="9" t="s">
        <v>43</v>
      </c>
      <c r="K65" s="9">
        <v>3</v>
      </c>
      <c r="L65" s="6"/>
      <c r="M65" s="6"/>
      <c r="N65" s="6"/>
      <c r="O65" s="6"/>
      <c r="P65" s="6"/>
      <c r="Q65" s="6"/>
      <c r="R65" s="6"/>
      <c r="S65" s="6"/>
      <c r="T65" s="6"/>
      <c r="U65" s="9" t="s">
        <v>289</v>
      </c>
      <c r="V65" s="9" t="s">
        <v>290</v>
      </c>
      <c r="W65" s="10" t="s">
        <v>291</v>
      </c>
      <c r="X65" s="9" t="s">
        <v>47</v>
      </c>
      <c r="Y65" s="9" t="s">
        <v>51</v>
      </c>
      <c r="Z65" s="9">
        <v>49542</v>
      </c>
      <c r="AA65" s="9" t="s">
        <v>52</v>
      </c>
      <c r="AB65" s="9" t="s">
        <v>289</v>
      </c>
      <c r="AC65" s="9" t="s">
        <v>292</v>
      </c>
      <c r="AD65" s="6"/>
      <c r="AE65" s="6"/>
      <c r="AF65" s="6"/>
      <c r="AG65" s="6"/>
      <c r="AH65" s="6"/>
    </row>
    <row r="66" spans="1:34" ht="15.75" customHeight="1" x14ac:dyDescent="0.25">
      <c r="A66" s="4">
        <v>45767.820257037034</v>
      </c>
      <c r="B66" s="5" t="s">
        <v>71</v>
      </c>
      <c r="C66" s="6"/>
      <c r="D66" s="6"/>
      <c r="E66" s="6"/>
      <c r="F66" s="6"/>
      <c r="G66" s="6"/>
      <c r="H66" s="6"/>
      <c r="I66" s="6"/>
      <c r="J66" s="5" t="s">
        <v>35</v>
      </c>
      <c r="K66" s="6"/>
      <c r="L66" s="6"/>
      <c r="M66" s="6"/>
      <c r="N66" s="6"/>
      <c r="O66" s="6"/>
      <c r="P66" s="6"/>
      <c r="Q66" s="5">
        <v>2</v>
      </c>
      <c r="R66" s="6"/>
      <c r="S66" s="5">
        <v>1</v>
      </c>
      <c r="T66" s="6"/>
      <c r="U66" s="5" t="s">
        <v>293</v>
      </c>
      <c r="V66" s="5" t="s">
        <v>294</v>
      </c>
      <c r="W66" s="7" t="s">
        <v>295</v>
      </c>
      <c r="X66" s="5" t="s">
        <v>39</v>
      </c>
      <c r="Y66" s="5" t="s">
        <v>51</v>
      </c>
      <c r="Z66" s="5">
        <v>78714</v>
      </c>
      <c r="AA66" s="5" t="s">
        <v>52</v>
      </c>
      <c r="AB66" s="5" t="s">
        <v>293</v>
      </c>
      <c r="AC66" s="5" t="s">
        <v>296</v>
      </c>
      <c r="AD66" s="6"/>
      <c r="AE66" s="6"/>
      <c r="AF66" s="6"/>
      <c r="AG66" s="6"/>
      <c r="AH66" s="6"/>
    </row>
    <row r="67" spans="1:34" ht="15.75" customHeight="1" x14ac:dyDescent="0.25">
      <c r="A67" s="8">
        <v>45767.887726597226</v>
      </c>
      <c r="B67" s="9" t="s">
        <v>33</v>
      </c>
      <c r="C67" s="9">
        <v>4</v>
      </c>
      <c r="D67" s="6"/>
      <c r="E67" s="6"/>
      <c r="F67" s="6"/>
      <c r="G67" s="9">
        <v>9</v>
      </c>
      <c r="H67" s="9">
        <v>17</v>
      </c>
      <c r="I67" s="6"/>
      <c r="J67" s="9" t="s">
        <v>35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9" t="s">
        <v>297</v>
      </c>
      <c r="V67" s="9" t="s">
        <v>198</v>
      </c>
      <c r="W67" s="10" t="s">
        <v>199</v>
      </c>
      <c r="X67" s="9" t="s">
        <v>65</v>
      </c>
      <c r="Y67" s="9" t="s">
        <v>40</v>
      </c>
      <c r="Z67" s="6"/>
      <c r="AA67" s="9" t="s">
        <v>61</v>
      </c>
      <c r="AB67" s="6"/>
      <c r="AC67" s="6"/>
      <c r="AD67" s="9">
        <v>8</v>
      </c>
      <c r="AE67" s="6"/>
      <c r="AF67" s="6"/>
      <c r="AG67" s="6"/>
      <c r="AH67" s="6"/>
    </row>
    <row r="68" spans="1:34" ht="15.75" customHeight="1" x14ac:dyDescent="0.25">
      <c r="A68" s="4">
        <v>45767.889387303236</v>
      </c>
      <c r="B68" s="5" t="s">
        <v>33</v>
      </c>
      <c r="C68" s="6"/>
      <c r="D68" s="5">
        <v>5</v>
      </c>
      <c r="E68" s="5">
        <v>5</v>
      </c>
      <c r="F68" s="6"/>
      <c r="G68" s="6"/>
      <c r="H68" s="6"/>
      <c r="I68" s="6"/>
      <c r="J68" s="5" t="s">
        <v>35</v>
      </c>
      <c r="K68" s="6"/>
      <c r="L68" s="6"/>
      <c r="M68" s="6"/>
      <c r="N68" s="6"/>
      <c r="O68" s="6"/>
      <c r="P68" s="6"/>
      <c r="Q68" s="6"/>
      <c r="R68" s="6"/>
      <c r="S68" s="6"/>
      <c r="T68" s="6"/>
      <c r="U68" s="5" t="s">
        <v>298</v>
      </c>
      <c r="V68" s="5" t="s">
        <v>198</v>
      </c>
      <c r="W68" s="7" t="s">
        <v>199</v>
      </c>
      <c r="X68" s="5" t="s">
        <v>47</v>
      </c>
      <c r="Y68" s="5" t="s">
        <v>40</v>
      </c>
      <c r="Z68" s="6"/>
      <c r="AA68" s="5" t="s">
        <v>41</v>
      </c>
      <c r="AB68" s="6"/>
      <c r="AC68" s="6"/>
      <c r="AD68" s="6"/>
      <c r="AE68" s="6"/>
      <c r="AF68" s="6"/>
      <c r="AG68" s="5" t="s">
        <v>299</v>
      </c>
      <c r="AH68" s="6"/>
    </row>
    <row r="69" spans="1:34" ht="15.75" customHeight="1" x14ac:dyDescent="0.25">
      <c r="A69" s="8">
        <v>45767.956873472227</v>
      </c>
      <c r="B69" s="9" t="s">
        <v>33</v>
      </c>
      <c r="C69" s="9">
        <v>8</v>
      </c>
      <c r="D69" s="6"/>
      <c r="E69" s="9">
        <v>7</v>
      </c>
      <c r="F69" s="6"/>
      <c r="G69" s="9">
        <v>3</v>
      </c>
      <c r="H69" s="6"/>
      <c r="I69" s="9">
        <v>2</v>
      </c>
      <c r="J69" s="9" t="s">
        <v>43</v>
      </c>
      <c r="K69" s="6"/>
      <c r="L69" s="9">
        <v>15</v>
      </c>
      <c r="M69" s="6"/>
      <c r="N69" s="6"/>
      <c r="O69" s="6"/>
      <c r="P69" s="6"/>
      <c r="Q69" s="6"/>
      <c r="R69" s="6"/>
      <c r="S69" s="6"/>
      <c r="T69" s="6"/>
      <c r="U69" s="9" t="s">
        <v>102</v>
      </c>
      <c r="V69" s="9" t="s">
        <v>103</v>
      </c>
      <c r="W69" s="10" t="s">
        <v>104</v>
      </c>
      <c r="X69" s="9" t="s">
        <v>47</v>
      </c>
      <c r="Y69" s="9" t="s">
        <v>51</v>
      </c>
      <c r="Z69" s="9">
        <v>40236</v>
      </c>
      <c r="AA69" s="9" t="s">
        <v>41</v>
      </c>
      <c r="AB69" s="6"/>
      <c r="AC69" s="6"/>
      <c r="AD69" s="6"/>
      <c r="AE69" s="6"/>
      <c r="AF69" s="6"/>
      <c r="AG69" s="6"/>
      <c r="AH69" s="6"/>
    </row>
    <row r="70" spans="1:34" ht="15.75" customHeight="1" x14ac:dyDescent="0.25">
      <c r="A70" s="4">
        <v>45767.98062725694</v>
      </c>
      <c r="B70" s="5" t="s">
        <v>33</v>
      </c>
      <c r="C70" s="5" t="s">
        <v>300</v>
      </c>
      <c r="D70" s="6"/>
      <c r="E70" s="6"/>
      <c r="F70" s="6"/>
      <c r="G70" s="6"/>
      <c r="H70" s="6"/>
      <c r="I70" s="5" t="s">
        <v>301</v>
      </c>
      <c r="J70" s="5" t="s">
        <v>43</v>
      </c>
      <c r="K70" s="6"/>
      <c r="L70" s="5" t="s">
        <v>300</v>
      </c>
      <c r="M70" s="6"/>
      <c r="N70" s="6"/>
      <c r="O70" s="6"/>
      <c r="P70" s="6"/>
      <c r="Q70" s="6"/>
      <c r="R70" s="6"/>
      <c r="S70" s="6"/>
      <c r="T70" s="6"/>
      <c r="U70" s="5" t="s">
        <v>302</v>
      </c>
      <c r="V70" s="5" t="s">
        <v>303</v>
      </c>
      <c r="W70" s="7" t="s">
        <v>304</v>
      </c>
      <c r="X70" s="5" t="s">
        <v>47</v>
      </c>
      <c r="Y70" s="5" t="s">
        <v>40</v>
      </c>
      <c r="Z70" s="6"/>
      <c r="AA70" s="5" t="s">
        <v>133</v>
      </c>
      <c r="AB70" s="6"/>
      <c r="AC70" s="6"/>
      <c r="AD70" s="6"/>
      <c r="AE70" s="6"/>
      <c r="AF70" s="5" t="s">
        <v>305</v>
      </c>
      <c r="AG70" s="6"/>
      <c r="AH70" s="6"/>
    </row>
    <row r="71" spans="1:34" ht="15.75" customHeight="1" x14ac:dyDescent="0.25">
      <c r="A71" s="8">
        <v>45768.000435891205</v>
      </c>
      <c r="B71" s="9" t="s">
        <v>71</v>
      </c>
      <c r="C71" s="6"/>
      <c r="D71" s="6"/>
      <c r="E71" s="6"/>
      <c r="F71" s="6"/>
      <c r="G71" s="6"/>
      <c r="H71" s="6"/>
      <c r="I71" s="9">
        <v>10</v>
      </c>
      <c r="J71" s="9" t="s">
        <v>35</v>
      </c>
      <c r="K71" s="6"/>
      <c r="L71" s="6"/>
      <c r="M71" s="9">
        <v>3</v>
      </c>
      <c r="N71" s="9">
        <v>3</v>
      </c>
      <c r="O71" s="6"/>
      <c r="P71" s="6"/>
      <c r="Q71" s="6"/>
      <c r="R71" s="6"/>
      <c r="S71" s="6"/>
      <c r="T71" s="6"/>
      <c r="U71" s="9" t="s">
        <v>67</v>
      </c>
      <c r="V71" s="9" t="s">
        <v>68</v>
      </c>
      <c r="W71" s="10" t="s">
        <v>69</v>
      </c>
      <c r="X71" s="9" t="s">
        <v>65</v>
      </c>
      <c r="Y71" s="9" t="s">
        <v>51</v>
      </c>
      <c r="Z71" s="9" t="s">
        <v>306</v>
      </c>
      <c r="AA71" s="9" t="s">
        <v>61</v>
      </c>
      <c r="AB71" s="6"/>
      <c r="AC71" s="6"/>
      <c r="AD71" s="6"/>
      <c r="AE71" s="6"/>
      <c r="AF71" s="9" t="s">
        <v>307</v>
      </c>
      <c r="AG71" s="6"/>
      <c r="AH71" s="6"/>
    </row>
    <row r="72" spans="1:34" ht="15.75" customHeight="1" x14ac:dyDescent="0.25">
      <c r="A72" s="11">
        <v>45768.34916297454</v>
      </c>
      <c r="B72" s="12" t="s">
        <v>33</v>
      </c>
      <c r="C72" s="6"/>
      <c r="D72" s="6"/>
      <c r="E72" s="12">
        <v>1</v>
      </c>
      <c r="F72" s="6"/>
      <c r="G72" s="6"/>
      <c r="H72" s="6"/>
      <c r="I72" s="6"/>
      <c r="J72" s="12" t="s">
        <v>35</v>
      </c>
      <c r="K72" s="6"/>
      <c r="L72" s="6"/>
      <c r="M72" s="6"/>
      <c r="N72" s="6"/>
      <c r="O72" s="6"/>
      <c r="P72" s="6"/>
      <c r="Q72" s="6"/>
      <c r="R72" s="6"/>
      <c r="S72" s="6"/>
      <c r="T72" s="6"/>
      <c r="U72" s="12" t="s">
        <v>308</v>
      </c>
      <c r="V72" s="12" t="s">
        <v>309</v>
      </c>
      <c r="W72" s="13" t="s">
        <v>310</v>
      </c>
      <c r="X72" s="12" t="s">
        <v>47</v>
      </c>
      <c r="Y72" s="12" t="s">
        <v>40</v>
      </c>
      <c r="Z72" s="6"/>
      <c r="AA72" s="12" t="s">
        <v>66</v>
      </c>
      <c r="AB72" s="6"/>
      <c r="AC72" s="6"/>
      <c r="AD72" s="6"/>
      <c r="AE72" s="6"/>
      <c r="AF72" s="6"/>
      <c r="AG72" s="6"/>
      <c r="AH72" s="6"/>
    </row>
    <row r="73" spans="1:34" ht="15.75" customHeight="1" x14ac:dyDescent="0.25"/>
    <row r="74" spans="1:34" ht="15.75" customHeight="1" x14ac:dyDescent="0.25"/>
    <row r="75" spans="1:34" ht="15.75" customHeight="1" x14ac:dyDescent="0.25"/>
    <row r="76" spans="1:34" ht="15.75" customHeight="1" x14ac:dyDescent="0.25"/>
    <row r="77" spans="1:34" ht="15.75" customHeight="1" x14ac:dyDescent="0.25"/>
    <row r="78" spans="1:34" ht="15.75" customHeight="1" x14ac:dyDescent="0.25"/>
    <row r="79" spans="1:34" ht="15.75" customHeight="1" x14ac:dyDescent="0.25"/>
    <row r="80" spans="1:34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honeticPr fontId="6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G91"/>
  <sheetViews>
    <sheetView workbookViewId="0">
      <pane ySplit="1" topLeftCell="A5" activePane="bottomLeft" state="frozen"/>
      <selection pane="bottomLeft" activeCell="V34" sqref="V34"/>
    </sheetView>
  </sheetViews>
  <sheetFormatPr defaultColWidth="12.6328125" defaultRowHeight="15" customHeight="1" x14ac:dyDescent="0.25"/>
  <cols>
    <col min="1" max="1" width="12.26953125" customWidth="1"/>
    <col min="2" max="2" width="8.26953125" customWidth="1"/>
    <col min="3" max="3" width="10.6328125" customWidth="1"/>
    <col min="4" max="4" width="41.90625" customWidth="1"/>
    <col min="5" max="5" width="54.90625" customWidth="1"/>
    <col min="6" max="6" width="31.90625" customWidth="1"/>
    <col min="7" max="9" width="12.6328125" customWidth="1"/>
    <col min="10" max="10" width="15.26953125" customWidth="1"/>
    <col min="11" max="11" width="25.7265625" customWidth="1"/>
    <col min="12" max="12" width="31" customWidth="1"/>
    <col min="13" max="13" width="26.08984375" customWidth="1"/>
    <col min="14" max="14" width="25.26953125" customWidth="1"/>
    <col min="15" max="15" width="7.6328125" customWidth="1"/>
    <col min="16" max="16" width="6" customWidth="1"/>
    <col min="17" max="17" width="33.90625" customWidth="1"/>
    <col min="18" max="18" width="35.453125" customWidth="1"/>
    <col min="19" max="19" width="21.453125" customWidth="1"/>
    <col min="20" max="20" width="20.6328125" customWidth="1"/>
    <col min="21" max="21" width="28" customWidth="1"/>
    <col min="22" max="23" width="24.7265625" customWidth="1"/>
    <col min="24" max="24" width="67.453125" customWidth="1"/>
    <col min="25" max="26" width="67.6328125" customWidth="1"/>
    <col min="27" max="27" width="10.26953125" customWidth="1"/>
    <col min="28" max="28" width="36.6328125" customWidth="1"/>
    <col min="29" max="29" width="7.6328125" customWidth="1"/>
    <col min="30" max="30" width="61.90625" customWidth="1"/>
    <col min="31" max="31" width="6" customWidth="1"/>
    <col min="32" max="32" width="38" customWidth="1"/>
    <col min="33" max="33" width="60.26953125" customWidth="1"/>
  </cols>
  <sheetData>
    <row r="1" spans="1:33" ht="12.5" x14ac:dyDescent="0.25">
      <c r="A1" s="14">
        <v>0</v>
      </c>
      <c r="B1" s="15" t="s">
        <v>25</v>
      </c>
      <c r="C1" s="15" t="s">
        <v>19</v>
      </c>
      <c r="D1" s="15" t="s">
        <v>2</v>
      </c>
      <c r="E1" s="15" t="s">
        <v>3</v>
      </c>
      <c r="F1" s="16" t="s">
        <v>31</v>
      </c>
      <c r="G1" s="14" t="s">
        <v>311</v>
      </c>
      <c r="H1" s="14" t="s">
        <v>312</v>
      </c>
      <c r="I1" s="14" t="s">
        <v>313</v>
      </c>
      <c r="J1" s="15" t="s">
        <v>4</v>
      </c>
      <c r="K1" s="15" t="s">
        <v>6</v>
      </c>
      <c r="L1" s="15" t="s">
        <v>7</v>
      </c>
      <c r="M1" s="15" t="s">
        <v>8</v>
      </c>
      <c r="N1" s="16" t="s">
        <v>28</v>
      </c>
      <c r="O1" s="14" t="s">
        <v>314</v>
      </c>
      <c r="P1" s="14" t="s">
        <v>315</v>
      </c>
      <c r="Q1" s="15" t="s">
        <v>11</v>
      </c>
      <c r="R1" s="15" t="s">
        <v>12</v>
      </c>
      <c r="S1" s="15" t="s">
        <v>13</v>
      </c>
      <c r="T1" s="15" t="s">
        <v>14</v>
      </c>
      <c r="U1" s="15" t="s">
        <v>15</v>
      </c>
      <c r="V1" s="15" t="s">
        <v>16</v>
      </c>
      <c r="W1" s="15" t="s">
        <v>17</v>
      </c>
      <c r="X1" s="15" t="s">
        <v>18</v>
      </c>
      <c r="Y1" s="16" t="s">
        <v>29</v>
      </c>
      <c r="Z1" s="16" t="s">
        <v>20</v>
      </c>
      <c r="AA1" s="16" t="s">
        <v>21</v>
      </c>
      <c r="AB1" s="16" t="s">
        <v>22</v>
      </c>
      <c r="AC1" s="16" t="s">
        <v>23</v>
      </c>
      <c r="AD1" s="16" t="s">
        <v>24</v>
      </c>
      <c r="AE1" s="16" t="s">
        <v>26</v>
      </c>
      <c r="AF1" s="16" t="s">
        <v>27</v>
      </c>
      <c r="AG1" s="16" t="s">
        <v>30</v>
      </c>
    </row>
    <row r="2" spans="1:33" ht="12.5" x14ac:dyDescent="0.25">
      <c r="A2" s="17">
        <v>1</v>
      </c>
      <c r="B2" s="18" t="s">
        <v>66</v>
      </c>
      <c r="C2" s="18" t="s">
        <v>62</v>
      </c>
      <c r="D2" s="19">
        <v>2</v>
      </c>
      <c r="E2" s="6"/>
      <c r="F2" s="6"/>
      <c r="G2" s="6"/>
      <c r="H2" s="6"/>
      <c r="I2" s="6"/>
      <c r="J2" s="6"/>
      <c r="K2" s="19">
        <v>1</v>
      </c>
      <c r="L2" s="19">
        <v>1</v>
      </c>
      <c r="M2" s="19">
        <v>1</v>
      </c>
      <c r="N2" s="19">
        <v>1</v>
      </c>
      <c r="O2" s="6"/>
      <c r="P2" s="6"/>
      <c r="Q2" s="19">
        <v>1</v>
      </c>
      <c r="R2" s="6"/>
      <c r="S2" s="6"/>
      <c r="T2" s="6"/>
      <c r="U2" s="19">
        <v>1</v>
      </c>
      <c r="V2" s="6"/>
      <c r="W2" s="6"/>
      <c r="X2" s="6"/>
      <c r="Y2" s="6"/>
      <c r="Z2" s="5" t="s">
        <v>63</v>
      </c>
      <c r="AA2" s="7" t="s">
        <v>64</v>
      </c>
      <c r="AB2" s="5" t="s">
        <v>65</v>
      </c>
      <c r="AC2" s="5" t="s">
        <v>40</v>
      </c>
      <c r="AD2" s="6"/>
      <c r="AE2" s="6"/>
      <c r="AF2" s="6"/>
      <c r="AG2" s="6"/>
    </row>
    <row r="3" spans="1:33" ht="12.5" x14ac:dyDescent="0.25">
      <c r="A3" s="17">
        <v>1</v>
      </c>
      <c r="B3" s="18" t="s">
        <v>66</v>
      </c>
      <c r="C3" s="18" t="s">
        <v>72</v>
      </c>
      <c r="D3" s="6"/>
      <c r="E3" s="6"/>
      <c r="F3" s="19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19">
        <v>3</v>
      </c>
      <c r="Y3" s="19">
        <v>2</v>
      </c>
      <c r="Z3" s="9" t="s">
        <v>73</v>
      </c>
      <c r="AA3" s="10" t="s">
        <v>74</v>
      </c>
      <c r="AB3" s="9" t="s">
        <v>47</v>
      </c>
      <c r="AC3" s="9" t="s">
        <v>40</v>
      </c>
      <c r="AD3" s="6"/>
      <c r="AE3" s="6"/>
      <c r="AF3" s="6"/>
      <c r="AG3" s="19"/>
    </row>
    <row r="4" spans="1:33" ht="12.5" x14ac:dyDescent="0.25">
      <c r="A4" s="17">
        <v>1</v>
      </c>
      <c r="B4" s="18" t="s">
        <v>66</v>
      </c>
      <c r="C4" s="18" t="s">
        <v>82</v>
      </c>
      <c r="D4" s="19">
        <v>1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5" t="s">
        <v>83</v>
      </c>
      <c r="AA4" s="7" t="s">
        <v>84</v>
      </c>
      <c r="AB4" s="5" t="s">
        <v>47</v>
      </c>
      <c r="AC4" s="5" t="s">
        <v>40</v>
      </c>
      <c r="AD4" s="20"/>
      <c r="AE4" s="20"/>
      <c r="AF4" s="20"/>
      <c r="AG4" s="6"/>
    </row>
    <row r="5" spans="1:33" ht="12.5" x14ac:dyDescent="0.25">
      <c r="A5" s="17">
        <v>1</v>
      </c>
      <c r="B5" s="18" t="s">
        <v>66</v>
      </c>
      <c r="C5" s="18" t="s">
        <v>113</v>
      </c>
      <c r="D5" s="6"/>
      <c r="E5" s="6"/>
      <c r="F5" s="19"/>
      <c r="G5" s="6"/>
      <c r="H5" s="6"/>
      <c r="I5" s="6"/>
      <c r="J5" s="6"/>
      <c r="K5" s="6"/>
      <c r="L5" s="6"/>
      <c r="M5" s="6"/>
      <c r="N5" s="6"/>
      <c r="O5" s="19">
        <v>1</v>
      </c>
      <c r="P5" s="19">
        <v>1</v>
      </c>
      <c r="Q5" s="6"/>
      <c r="R5" s="6"/>
      <c r="S5" s="6"/>
      <c r="T5" s="6"/>
      <c r="U5" s="6"/>
      <c r="V5" s="6"/>
      <c r="W5" s="6"/>
      <c r="X5" s="19">
        <v>1</v>
      </c>
      <c r="Y5" s="19">
        <v>1</v>
      </c>
      <c r="Z5" s="9" t="s">
        <v>114</v>
      </c>
      <c r="AA5" s="10" t="s">
        <v>115</v>
      </c>
      <c r="AB5" s="9" t="s">
        <v>65</v>
      </c>
      <c r="AC5" s="9" t="s">
        <v>40</v>
      </c>
      <c r="AD5" s="21"/>
      <c r="AE5" s="21"/>
      <c r="AF5" s="21"/>
      <c r="AG5" s="19"/>
    </row>
    <row r="6" spans="1:33" ht="12.5" x14ac:dyDescent="0.25">
      <c r="A6" s="17">
        <v>1</v>
      </c>
      <c r="B6" s="18" t="s">
        <v>66</v>
      </c>
      <c r="C6" s="18" t="s">
        <v>122</v>
      </c>
      <c r="D6" s="19">
        <v>1</v>
      </c>
      <c r="E6" s="6"/>
      <c r="F6" s="6"/>
      <c r="G6" s="6"/>
      <c r="H6" s="6"/>
      <c r="I6" s="6"/>
      <c r="J6" s="6"/>
      <c r="K6" s="6"/>
      <c r="L6" s="6"/>
      <c r="M6" s="6"/>
      <c r="N6" s="6"/>
      <c r="O6" s="19">
        <v>1</v>
      </c>
      <c r="P6" s="6"/>
      <c r="Q6" s="6"/>
      <c r="R6" s="6"/>
      <c r="S6" s="6"/>
      <c r="T6" s="6"/>
      <c r="U6" s="6"/>
      <c r="V6" s="6"/>
      <c r="W6" s="6"/>
      <c r="X6" s="19">
        <v>1</v>
      </c>
      <c r="Y6" s="19"/>
      <c r="Z6" s="5" t="s">
        <v>123</v>
      </c>
      <c r="AA6" s="7" t="s">
        <v>124</v>
      </c>
      <c r="AB6" s="5" t="s">
        <v>65</v>
      </c>
      <c r="AC6" s="5" t="s">
        <v>40</v>
      </c>
      <c r="AD6" s="6"/>
      <c r="AE6" s="6"/>
      <c r="AF6" s="6"/>
      <c r="AG6" s="6"/>
    </row>
    <row r="7" spans="1:33" ht="15" customHeight="1" x14ac:dyDescent="0.25">
      <c r="A7" s="17">
        <v>1</v>
      </c>
      <c r="B7" s="18" t="s">
        <v>66</v>
      </c>
      <c r="C7" s="18" t="s">
        <v>167</v>
      </c>
      <c r="D7" s="6"/>
      <c r="E7" s="22">
        <v>2</v>
      </c>
      <c r="F7" s="19" t="s">
        <v>166</v>
      </c>
      <c r="G7" s="23">
        <v>2</v>
      </c>
      <c r="H7" s="6"/>
      <c r="I7" s="23">
        <v>2</v>
      </c>
      <c r="J7" s="6"/>
      <c r="K7" s="6"/>
      <c r="L7" s="6"/>
      <c r="M7" s="19">
        <v>2</v>
      </c>
      <c r="N7" s="21"/>
      <c r="O7" s="19">
        <v>3</v>
      </c>
      <c r="P7" s="19">
        <v>3</v>
      </c>
      <c r="Q7" s="6"/>
      <c r="R7" s="6"/>
      <c r="S7" s="6"/>
      <c r="T7" s="6"/>
      <c r="U7" s="19">
        <v>1</v>
      </c>
      <c r="V7" s="6"/>
      <c r="W7" s="6"/>
      <c r="X7" s="6"/>
      <c r="Y7" s="6"/>
      <c r="Z7" s="9" t="s">
        <v>168</v>
      </c>
      <c r="AA7" s="10" t="s">
        <v>169</v>
      </c>
      <c r="AB7" s="9" t="s">
        <v>65</v>
      </c>
      <c r="AC7" s="9" t="s">
        <v>40</v>
      </c>
      <c r="AD7" s="6"/>
      <c r="AE7" s="6"/>
      <c r="AF7" s="6"/>
      <c r="AG7" s="19" t="s">
        <v>170</v>
      </c>
    </row>
    <row r="8" spans="1:33" ht="12.5" x14ac:dyDescent="0.25">
      <c r="A8" s="17">
        <v>1</v>
      </c>
      <c r="B8" s="18" t="s">
        <v>66</v>
      </c>
      <c r="C8" s="18" t="s">
        <v>187</v>
      </c>
      <c r="D8" s="19">
        <v>1</v>
      </c>
      <c r="E8" s="6"/>
      <c r="F8" s="20"/>
      <c r="G8" s="6"/>
      <c r="H8" s="6"/>
      <c r="I8" s="6"/>
      <c r="J8" s="6"/>
      <c r="K8" s="6"/>
      <c r="L8" s="6"/>
      <c r="M8" s="6"/>
      <c r="N8" s="5">
        <v>3</v>
      </c>
      <c r="O8" s="19">
        <v>1</v>
      </c>
      <c r="P8" s="19">
        <v>1</v>
      </c>
      <c r="Q8" s="6"/>
      <c r="R8" s="6"/>
      <c r="S8" s="19">
        <v>1</v>
      </c>
      <c r="T8" s="6"/>
      <c r="U8" s="6"/>
      <c r="V8" s="6"/>
      <c r="W8" s="6"/>
      <c r="X8" s="6"/>
      <c r="Y8" s="20"/>
      <c r="Z8" s="5" t="s">
        <v>188</v>
      </c>
      <c r="AA8" s="7" t="s">
        <v>189</v>
      </c>
      <c r="AB8" s="5" t="s">
        <v>65</v>
      </c>
      <c r="AC8" s="5" t="s">
        <v>40</v>
      </c>
      <c r="AD8" s="20"/>
      <c r="AE8" s="6"/>
      <c r="AF8" s="6"/>
      <c r="AG8" s="20"/>
    </row>
    <row r="9" spans="1:33" ht="12.5" x14ac:dyDescent="0.25">
      <c r="A9" s="17">
        <v>1</v>
      </c>
      <c r="B9" s="18" t="s">
        <v>66</v>
      </c>
      <c r="C9" s="18" t="s">
        <v>194</v>
      </c>
      <c r="D9" s="6"/>
      <c r="E9" s="6"/>
      <c r="F9" s="21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19">
        <v>1</v>
      </c>
      <c r="V9" s="6"/>
      <c r="W9" s="6"/>
      <c r="X9" s="6"/>
      <c r="Y9" s="21"/>
      <c r="Z9" s="9" t="s">
        <v>195</v>
      </c>
      <c r="AA9" s="10" t="s">
        <v>196</v>
      </c>
      <c r="AB9" s="9" t="s">
        <v>65</v>
      </c>
      <c r="AC9" s="9" t="s">
        <v>40</v>
      </c>
      <c r="AD9" s="6"/>
      <c r="AE9" s="6"/>
      <c r="AF9" s="6"/>
      <c r="AG9" s="21"/>
    </row>
    <row r="10" spans="1:33" ht="12.5" x14ac:dyDescent="0.25">
      <c r="A10" s="17">
        <v>1</v>
      </c>
      <c r="B10" s="18" t="s">
        <v>66</v>
      </c>
      <c r="C10" s="18" t="s">
        <v>259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19">
        <v>1</v>
      </c>
      <c r="P10" s="6"/>
      <c r="Q10" s="6"/>
      <c r="R10" s="19">
        <v>1</v>
      </c>
      <c r="S10" s="6"/>
      <c r="T10" s="6"/>
      <c r="U10" s="19">
        <v>1</v>
      </c>
      <c r="V10" s="6"/>
      <c r="W10" s="6"/>
      <c r="X10" s="6"/>
      <c r="Y10" s="6"/>
      <c r="Z10" s="5" t="s">
        <v>260</v>
      </c>
      <c r="AA10" s="7" t="s">
        <v>261</v>
      </c>
      <c r="AB10" s="5" t="s">
        <v>65</v>
      </c>
      <c r="AC10" s="5" t="s">
        <v>40</v>
      </c>
      <c r="AD10" s="20"/>
      <c r="AE10" s="20"/>
      <c r="AF10" s="20"/>
      <c r="AG10" s="6"/>
    </row>
    <row r="11" spans="1:33" ht="12.5" x14ac:dyDescent="0.25">
      <c r="A11" s="17">
        <v>1</v>
      </c>
      <c r="B11" s="18" t="s">
        <v>66</v>
      </c>
      <c r="C11" s="18" t="s">
        <v>266</v>
      </c>
      <c r="D11" s="6"/>
      <c r="E11" s="6"/>
      <c r="F11" s="6"/>
      <c r="G11" s="19"/>
      <c r="H11" s="19"/>
      <c r="I11" s="19"/>
      <c r="J11" s="19">
        <v>1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9" t="s">
        <v>267</v>
      </c>
      <c r="AA11" s="10" t="s">
        <v>268</v>
      </c>
      <c r="AB11" s="9" t="s">
        <v>47</v>
      </c>
      <c r="AC11" s="9" t="s">
        <v>40</v>
      </c>
      <c r="AD11" s="21"/>
      <c r="AE11" s="6"/>
      <c r="AF11" s="6"/>
      <c r="AG11" s="6"/>
    </row>
    <row r="12" spans="1:33" ht="12.5" x14ac:dyDescent="0.25">
      <c r="A12" s="17">
        <v>1</v>
      </c>
      <c r="B12" s="18" t="s">
        <v>66</v>
      </c>
      <c r="C12" s="18" t="s">
        <v>275</v>
      </c>
      <c r="D12" s="6"/>
      <c r="E12" s="6"/>
      <c r="F12" s="6"/>
      <c r="G12" s="6"/>
      <c r="H12" s="6"/>
      <c r="I12" s="6"/>
      <c r="J12" s="6"/>
      <c r="K12" s="6"/>
      <c r="L12" s="6"/>
      <c r="M12" s="19">
        <v>12</v>
      </c>
      <c r="N12" s="6"/>
      <c r="O12" s="19">
        <v>8</v>
      </c>
      <c r="P12" s="19">
        <v>4</v>
      </c>
      <c r="Q12" s="6"/>
      <c r="R12" s="6"/>
      <c r="S12" s="6"/>
      <c r="T12" s="6"/>
      <c r="U12" s="6"/>
      <c r="V12" s="6"/>
      <c r="W12" s="6"/>
      <c r="X12" s="6"/>
      <c r="Y12" s="6"/>
      <c r="Z12" s="5" t="s">
        <v>276</v>
      </c>
      <c r="AA12" s="7" t="s">
        <v>277</v>
      </c>
      <c r="AB12" s="5" t="s">
        <v>65</v>
      </c>
      <c r="AC12" s="5" t="s">
        <v>40</v>
      </c>
      <c r="AD12" s="6"/>
      <c r="AE12" s="6"/>
      <c r="AF12" s="6"/>
      <c r="AG12" s="19" t="s">
        <v>278</v>
      </c>
    </row>
    <row r="13" spans="1:33" ht="12.5" x14ac:dyDescent="0.25">
      <c r="A13" s="17">
        <v>1</v>
      </c>
      <c r="B13" s="18" t="s">
        <v>66</v>
      </c>
      <c r="C13" s="18" t="s">
        <v>308</v>
      </c>
      <c r="D13" s="6"/>
      <c r="E13" s="6"/>
      <c r="F13" s="6"/>
      <c r="G13" s="19"/>
      <c r="H13" s="19"/>
      <c r="I13" s="19"/>
      <c r="J13" s="19">
        <v>1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9" t="s">
        <v>309</v>
      </c>
      <c r="AA13" s="10" t="s">
        <v>310</v>
      </c>
      <c r="AB13" s="9" t="s">
        <v>47</v>
      </c>
      <c r="AC13" s="9" t="s">
        <v>40</v>
      </c>
      <c r="AD13" s="6"/>
      <c r="AE13" s="6"/>
      <c r="AF13" s="6"/>
      <c r="AG13" s="6"/>
    </row>
    <row r="14" spans="1:33" ht="12.5" x14ac:dyDescent="0.25">
      <c r="A14" s="24">
        <v>2</v>
      </c>
      <c r="B14" s="25" t="s">
        <v>61</v>
      </c>
      <c r="C14" s="25" t="s">
        <v>58</v>
      </c>
      <c r="D14" s="6"/>
      <c r="E14" s="6"/>
      <c r="F14" s="6"/>
      <c r="G14" s="19"/>
      <c r="H14" s="19"/>
      <c r="I14" s="19"/>
      <c r="J14" s="19">
        <v>1</v>
      </c>
      <c r="K14" s="6"/>
      <c r="L14" s="6"/>
      <c r="M14" s="6"/>
      <c r="N14" s="20"/>
      <c r="O14" s="19">
        <v>1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5" t="s">
        <v>59</v>
      </c>
      <c r="AA14" s="7" t="s">
        <v>60</v>
      </c>
      <c r="AB14" s="5" t="s">
        <v>47</v>
      </c>
      <c r="AC14" s="5" t="s">
        <v>40</v>
      </c>
      <c r="AD14" s="6"/>
      <c r="AE14" s="6"/>
      <c r="AF14" s="6"/>
      <c r="AG14" s="6"/>
    </row>
    <row r="15" spans="1:33" ht="12.5" x14ac:dyDescent="0.25">
      <c r="A15" s="24">
        <v>2</v>
      </c>
      <c r="B15" s="25" t="s">
        <v>61</v>
      </c>
      <c r="C15" s="25" t="s">
        <v>67</v>
      </c>
      <c r="D15" s="19">
        <v>1</v>
      </c>
      <c r="E15" s="6"/>
      <c r="F15" s="19"/>
      <c r="G15" s="6"/>
      <c r="H15" s="6"/>
      <c r="I15" s="6"/>
      <c r="J15" s="6"/>
      <c r="K15" s="6"/>
      <c r="L15" s="6"/>
      <c r="M15" s="19">
        <v>3</v>
      </c>
      <c r="N15" s="19">
        <v>3</v>
      </c>
      <c r="O15" s="19">
        <v>1</v>
      </c>
      <c r="P15" s="19">
        <v>1</v>
      </c>
      <c r="Q15" s="6"/>
      <c r="R15" s="6"/>
      <c r="S15" s="6"/>
      <c r="T15" s="6"/>
      <c r="U15" s="19">
        <v>1</v>
      </c>
      <c r="V15" s="6"/>
      <c r="W15" s="6"/>
      <c r="X15" s="19">
        <v>1</v>
      </c>
      <c r="Y15" s="19">
        <v>2</v>
      </c>
      <c r="Z15" s="9" t="s">
        <v>68</v>
      </c>
      <c r="AA15" s="10" t="s">
        <v>69</v>
      </c>
      <c r="AB15" s="9" t="s">
        <v>65</v>
      </c>
      <c r="AC15" s="9" t="s">
        <v>51</v>
      </c>
      <c r="AD15" s="9" t="s">
        <v>70</v>
      </c>
      <c r="AE15" s="21"/>
      <c r="AF15" s="21"/>
      <c r="AG15" s="19"/>
    </row>
    <row r="16" spans="1:33" ht="12.5" x14ac:dyDescent="0.25">
      <c r="A16" s="24">
        <v>2</v>
      </c>
      <c r="B16" s="25" t="s">
        <v>61</v>
      </c>
      <c r="C16" s="25" t="s">
        <v>85</v>
      </c>
      <c r="D16" s="19">
        <v>1</v>
      </c>
      <c r="E16" s="6"/>
      <c r="F16" s="6"/>
      <c r="G16" s="6"/>
      <c r="H16" s="6"/>
      <c r="I16" s="6"/>
      <c r="J16" s="6"/>
      <c r="K16" s="6"/>
      <c r="L16" s="19">
        <v>1</v>
      </c>
      <c r="M16" s="19">
        <v>1</v>
      </c>
      <c r="N16" s="6"/>
      <c r="O16" s="19">
        <v>1</v>
      </c>
      <c r="P16" s="19">
        <v>1</v>
      </c>
      <c r="Q16" s="6"/>
      <c r="R16" s="6"/>
      <c r="S16" s="6"/>
      <c r="T16" s="6"/>
      <c r="U16" s="6"/>
      <c r="V16" s="6"/>
      <c r="W16" s="19">
        <v>1</v>
      </c>
      <c r="X16" s="6"/>
      <c r="Y16" s="6"/>
      <c r="Z16" s="5" t="s">
        <v>86</v>
      </c>
      <c r="AA16" s="7" t="s">
        <v>87</v>
      </c>
      <c r="AB16" s="5" t="s">
        <v>65</v>
      </c>
      <c r="AC16" s="5" t="s">
        <v>40</v>
      </c>
      <c r="AD16" s="6"/>
      <c r="AE16" s="6"/>
      <c r="AF16" s="6"/>
      <c r="AG16" s="6"/>
    </row>
    <row r="17" spans="1:33" ht="12.5" x14ac:dyDescent="0.25">
      <c r="A17" s="24">
        <v>2</v>
      </c>
      <c r="B17" s="25" t="s">
        <v>61</v>
      </c>
      <c r="C17" s="25" t="s">
        <v>99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19">
        <v>1</v>
      </c>
      <c r="P17" s="6"/>
      <c r="Q17" s="6"/>
      <c r="R17" s="6"/>
      <c r="S17" s="6"/>
      <c r="T17" s="6"/>
      <c r="U17" s="6"/>
      <c r="V17" s="6"/>
      <c r="W17" s="19">
        <v>1</v>
      </c>
      <c r="X17" s="19">
        <v>1</v>
      </c>
      <c r="Y17" s="6"/>
      <c r="Z17" s="9" t="s">
        <v>100</v>
      </c>
      <c r="AA17" s="10" t="s">
        <v>101</v>
      </c>
      <c r="AB17" s="9" t="s">
        <v>47</v>
      </c>
      <c r="AC17" s="9" t="s">
        <v>40</v>
      </c>
      <c r="AD17" s="21"/>
      <c r="AE17" s="6"/>
      <c r="AF17" s="6"/>
      <c r="AG17" s="6"/>
    </row>
    <row r="18" spans="1:33" ht="12.5" x14ac:dyDescent="0.25">
      <c r="A18" s="24">
        <v>2</v>
      </c>
      <c r="B18" s="25" t="s">
        <v>61</v>
      </c>
      <c r="C18" s="25" t="s">
        <v>110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19">
        <v>1</v>
      </c>
      <c r="P18" s="19">
        <v>1</v>
      </c>
      <c r="Q18" s="6"/>
      <c r="R18" s="6"/>
      <c r="S18" s="6"/>
      <c r="T18" s="6"/>
      <c r="U18" s="6"/>
      <c r="V18" s="6"/>
      <c r="W18" s="19">
        <v>1</v>
      </c>
      <c r="X18" s="6"/>
      <c r="Y18" s="6"/>
      <c r="Z18" s="5" t="s">
        <v>111</v>
      </c>
      <c r="AA18" s="7" t="s">
        <v>112</v>
      </c>
      <c r="AB18" s="5" t="s">
        <v>39</v>
      </c>
      <c r="AC18" s="5" t="s">
        <v>40</v>
      </c>
      <c r="AD18" s="20"/>
      <c r="AE18" s="20"/>
      <c r="AF18" s="20"/>
      <c r="AG18" s="6"/>
    </row>
    <row r="19" spans="1:33" ht="12.5" x14ac:dyDescent="0.25">
      <c r="A19" s="24">
        <v>2</v>
      </c>
      <c r="B19" s="25" t="s">
        <v>61</v>
      </c>
      <c r="C19" s="25" t="s">
        <v>177</v>
      </c>
      <c r="D19" s="6"/>
      <c r="E19" s="6"/>
      <c r="F19" s="6"/>
      <c r="G19" s="6"/>
      <c r="H19" s="6"/>
      <c r="I19" s="6"/>
      <c r="J19" s="6"/>
      <c r="K19" s="19">
        <v>1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9" t="s">
        <v>178</v>
      </c>
      <c r="AA19" s="10" t="s">
        <v>179</v>
      </c>
      <c r="AB19" s="9" t="s">
        <v>39</v>
      </c>
      <c r="AC19" s="9" t="s">
        <v>40</v>
      </c>
      <c r="AD19" s="6"/>
      <c r="AE19" s="6"/>
      <c r="AF19" s="6"/>
      <c r="AG19" s="6"/>
    </row>
    <row r="20" spans="1:33" ht="12.5" x14ac:dyDescent="0.25">
      <c r="A20" s="24">
        <v>2</v>
      </c>
      <c r="B20" s="25" t="s">
        <v>61</v>
      </c>
      <c r="C20" s="25" t="s">
        <v>184</v>
      </c>
      <c r="D20" s="19">
        <v>1</v>
      </c>
      <c r="E20" s="6"/>
      <c r="F20" s="20"/>
      <c r="G20" s="6"/>
      <c r="H20" s="6"/>
      <c r="I20" s="6"/>
      <c r="J20" s="6"/>
      <c r="K20" s="6"/>
      <c r="L20" s="6"/>
      <c r="M20" s="6"/>
      <c r="N20" s="6"/>
      <c r="O20" s="19">
        <v>1</v>
      </c>
      <c r="P20" s="6"/>
      <c r="Q20" s="6"/>
      <c r="R20" s="6"/>
      <c r="S20" s="6"/>
      <c r="T20" s="6"/>
      <c r="U20" s="6"/>
      <c r="V20" s="6"/>
      <c r="W20" s="6"/>
      <c r="X20" s="6"/>
      <c r="Y20" s="20"/>
      <c r="Z20" s="5" t="s">
        <v>185</v>
      </c>
      <c r="AA20" s="7" t="s">
        <v>186</v>
      </c>
      <c r="AB20" s="5" t="s">
        <v>65</v>
      </c>
      <c r="AC20" s="5" t="s">
        <v>40</v>
      </c>
      <c r="AD20" s="20"/>
      <c r="AE20" s="6"/>
      <c r="AF20" s="6"/>
      <c r="AG20" s="20"/>
    </row>
    <row r="21" spans="1:33" ht="12.5" x14ac:dyDescent="0.25">
      <c r="A21" s="24">
        <v>2</v>
      </c>
      <c r="B21" s="25" t="s">
        <v>61</v>
      </c>
      <c r="C21" s="25" t="s">
        <v>197</v>
      </c>
      <c r="D21" s="19">
        <v>4</v>
      </c>
      <c r="E21" s="6"/>
      <c r="F21" s="21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19">
        <v>4</v>
      </c>
      <c r="U21" s="6"/>
      <c r="V21" s="6"/>
      <c r="W21" s="6"/>
      <c r="X21" s="6"/>
      <c r="Y21" s="21"/>
      <c r="Z21" s="9" t="s">
        <v>198</v>
      </c>
      <c r="AA21" s="10" t="s">
        <v>199</v>
      </c>
      <c r="AB21" s="9" t="s">
        <v>65</v>
      </c>
      <c r="AC21" s="9" t="s">
        <v>40</v>
      </c>
      <c r="AD21" s="6"/>
      <c r="AE21" s="6"/>
      <c r="AF21" s="6"/>
      <c r="AG21" s="21"/>
    </row>
    <row r="22" spans="1:33" ht="12.5" x14ac:dyDescent="0.25">
      <c r="A22" s="24">
        <v>2</v>
      </c>
      <c r="B22" s="25" t="s">
        <v>61</v>
      </c>
      <c r="C22" s="25" t="s">
        <v>235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20"/>
      <c r="O22" s="19">
        <v>0</v>
      </c>
      <c r="P22" s="19">
        <v>1</v>
      </c>
      <c r="Q22" s="6"/>
      <c r="R22" s="6"/>
      <c r="S22" s="6"/>
      <c r="T22" s="6"/>
      <c r="U22" s="6"/>
      <c r="V22" s="6"/>
      <c r="W22" s="19">
        <v>1</v>
      </c>
      <c r="X22" s="6"/>
      <c r="Y22" s="6"/>
      <c r="Z22" s="5" t="s">
        <v>236</v>
      </c>
      <c r="AA22" s="7" t="s">
        <v>237</v>
      </c>
      <c r="AB22" s="5" t="s">
        <v>65</v>
      </c>
      <c r="AC22" s="5" t="s">
        <v>40</v>
      </c>
      <c r="AD22" s="6"/>
      <c r="AE22" s="6"/>
      <c r="AF22" s="6"/>
      <c r="AG22" s="6"/>
    </row>
    <row r="23" spans="1:33" ht="12.5" x14ac:dyDescent="0.25">
      <c r="A23" s="24">
        <v>2</v>
      </c>
      <c r="B23" s="25" t="s">
        <v>61</v>
      </c>
      <c r="C23" s="25" t="s">
        <v>297</v>
      </c>
      <c r="D23" s="19">
        <v>4</v>
      </c>
      <c r="E23" s="6"/>
      <c r="F23" s="6"/>
      <c r="G23" s="6"/>
      <c r="H23" s="6"/>
      <c r="I23" s="6"/>
      <c r="J23" s="6"/>
      <c r="K23" s="19">
        <v>9</v>
      </c>
      <c r="L23" s="19">
        <v>17</v>
      </c>
      <c r="M23" s="6"/>
      <c r="N23" s="19">
        <v>8</v>
      </c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9" t="s">
        <v>198</v>
      </c>
      <c r="AA23" s="10" t="s">
        <v>199</v>
      </c>
      <c r="AB23" s="9" t="s">
        <v>65</v>
      </c>
      <c r="AC23" s="9" t="s">
        <v>40</v>
      </c>
      <c r="AD23" s="6"/>
      <c r="AE23" s="6"/>
      <c r="AF23" s="6"/>
      <c r="AG23" s="6"/>
    </row>
    <row r="24" spans="1:33" ht="12.5" x14ac:dyDescent="0.25">
      <c r="A24" s="24">
        <v>2</v>
      </c>
      <c r="B24" s="25" t="s">
        <v>61</v>
      </c>
      <c r="C24" s="25" t="s">
        <v>67</v>
      </c>
      <c r="D24" s="6"/>
      <c r="E24" s="6"/>
      <c r="F24" s="6"/>
      <c r="G24" s="6"/>
      <c r="H24" s="6"/>
      <c r="I24" s="6"/>
      <c r="J24" s="6"/>
      <c r="K24" s="6"/>
      <c r="L24" s="6"/>
      <c r="M24" s="19">
        <v>10</v>
      </c>
      <c r="N24" s="6"/>
      <c r="O24" s="6"/>
      <c r="P24" s="6"/>
      <c r="Q24" s="19">
        <v>3</v>
      </c>
      <c r="R24" s="19">
        <v>3</v>
      </c>
      <c r="S24" s="6"/>
      <c r="T24" s="6"/>
      <c r="U24" s="6"/>
      <c r="V24" s="6"/>
      <c r="W24" s="6"/>
      <c r="X24" s="6"/>
      <c r="Y24" s="20"/>
      <c r="Z24" s="5" t="s">
        <v>68</v>
      </c>
      <c r="AA24" s="7" t="s">
        <v>69</v>
      </c>
      <c r="AB24" s="5" t="s">
        <v>65</v>
      </c>
      <c r="AC24" s="5" t="s">
        <v>51</v>
      </c>
      <c r="AD24" s="19" t="s">
        <v>306</v>
      </c>
      <c r="AE24" s="6"/>
      <c r="AF24" s="6"/>
      <c r="AG24" s="19" t="s">
        <v>307</v>
      </c>
    </row>
    <row r="25" spans="1:33" ht="12.5" x14ac:dyDescent="0.25">
      <c r="A25" s="26">
        <v>3</v>
      </c>
      <c r="B25" s="27" t="s">
        <v>41</v>
      </c>
      <c r="C25" s="27" t="s">
        <v>36</v>
      </c>
      <c r="D25" s="6"/>
      <c r="E25" s="28">
        <v>1</v>
      </c>
      <c r="F25" s="19" t="s">
        <v>34</v>
      </c>
      <c r="G25" s="23">
        <v>2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9" t="s">
        <v>37</v>
      </c>
      <c r="AA25" s="10" t="s">
        <v>38</v>
      </c>
      <c r="AB25" s="9" t="s">
        <v>39</v>
      </c>
      <c r="AC25" s="9" t="s">
        <v>40</v>
      </c>
      <c r="AD25" s="21"/>
      <c r="AE25" s="21"/>
      <c r="AF25" s="21"/>
      <c r="AG25" s="6"/>
    </row>
    <row r="26" spans="1:33" ht="12.5" x14ac:dyDescent="0.25">
      <c r="A26" s="26">
        <v>3</v>
      </c>
      <c r="B26" s="27" t="s">
        <v>41</v>
      </c>
      <c r="C26" s="27" t="s">
        <v>44</v>
      </c>
      <c r="D26" s="6"/>
      <c r="E26" s="28">
        <v>1</v>
      </c>
      <c r="F26" s="19" t="s">
        <v>42</v>
      </c>
      <c r="G26" s="23">
        <v>1</v>
      </c>
      <c r="H26" s="23">
        <v>1</v>
      </c>
      <c r="I26" s="6"/>
      <c r="J26" s="6"/>
      <c r="K26" s="6"/>
      <c r="L26" s="6"/>
      <c r="M26" s="6"/>
      <c r="N26" s="6"/>
      <c r="O26" s="19">
        <v>1</v>
      </c>
      <c r="P26" s="19">
        <v>1</v>
      </c>
      <c r="Q26" s="6"/>
      <c r="R26" s="6"/>
      <c r="S26" s="6"/>
      <c r="T26" s="6"/>
      <c r="U26" s="6"/>
      <c r="V26" s="6"/>
      <c r="W26" s="6"/>
      <c r="X26" s="6"/>
      <c r="Y26" s="6"/>
      <c r="Z26" s="5" t="s">
        <v>45</v>
      </c>
      <c r="AA26" s="7" t="s">
        <v>46</v>
      </c>
      <c r="AB26" s="5" t="s">
        <v>47</v>
      </c>
      <c r="AC26" s="5" t="s">
        <v>40</v>
      </c>
      <c r="AD26" s="6"/>
      <c r="AE26" s="6"/>
      <c r="AF26" s="6"/>
      <c r="AG26" s="6"/>
    </row>
    <row r="27" spans="1:33" ht="12.5" x14ac:dyDescent="0.25">
      <c r="A27" s="26">
        <v>3</v>
      </c>
      <c r="B27" s="27" t="s">
        <v>41</v>
      </c>
      <c r="C27" s="27" t="s">
        <v>79</v>
      </c>
      <c r="D27" s="6"/>
      <c r="E27" s="6"/>
      <c r="F27" s="21"/>
      <c r="G27" s="19"/>
      <c r="H27" s="19"/>
      <c r="I27" s="19"/>
      <c r="J27" s="19">
        <v>1</v>
      </c>
      <c r="K27" s="6"/>
      <c r="L27" s="6"/>
      <c r="M27" s="6"/>
      <c r="N27" s="6"/>
      <c r="O27" s="6"/>
      <c r="P27" s="6"/>
      <c r="Q27" s="19">
        <v>1</v>
      </c>
      <c r="R27" s="6"/>
      <c r="S27" s="6"/>
      <c r="T27" s="6"/>
      <c r="U27" s="6"/>
      <c r="V27" s="6"/>
      <c r="W27" s="6"/>
      <c r="X27" s="6"/>
      <c r="Y27" s="6"/>
      <c r="Z27" s="9" t="s">
        <v>80</v>
      </c>
      <c r="AA27" s="10" t="s">
        <v>81</v>
      </c>
      <c r="AB27" s="9" t="s">
        <v>47</v>
      </c>
      <c r="AC27" s="9" t="s">
        <v>51</v>
      </c>
      <c r="AD27" s="9">
        <v>32206</v>
      </c>
      <c r="AE27" s="21"/>
      <c r="AF27" s="21"/>
      <c r="AG27" s="21"/>
    </row>
    <row r="28" spans="1:33" ht="12.5" x14ac:dyDescent="0.25">
      <c r="A28" s="26">
        <v>3</v>
      </c>
      <c r="B28" s="27" t="s">
        <v>41</v>
      </c>
      <c r="C28" s="27" t="s">
        <v>89</v>
      </c>
      <c r="D28" s="19">
        <v>2</v>
      </c>
      <c r="E28" s="28">
        <v>2</v>
      </c>
      <c r="F28" s="19" t="s">
        <v>88</v>
      </c>
      <c r="G28" s="6"/>
      <c r="H28" s="23">
        <v>2</v>
      </c>
      <c r="I28" s="23">
        <v>2</v>
      </c>
      <c r="J28" s="6"/>
      <c r="K28" s="19">
        <v>2</v>
      </c>
      <c r="L28" s="19">
        <v>2</v>
      </c>
      <c r="M28" s="6"/>
      <c r="N28" s="19">
        <v>10</v>
      </c>
      <c r="O28" s="6"/>
      <c r="P28" s="6"/>
      <c r="Q28" s="6"/>
      <c r="R28" s="6"/>
      <c r="S28" s="6"/>
      <c r="T28" s="6"/>
      <c r="U28" s="6"/>
      <c r="V28" s="6"/>
      <c r="W28" s="19">
        <v>1</v>
      </c>
      <c r="X28" s="19">
        <v>1</v>
      </c>
      <c r="Y28" s="6"/>
      <c r="Z28" s="5" t="s">
        <v>90</v>
      </c>
      <c r="AA28" s="7" t="s">
        <v>91</v>
      </c>
      <c r="AB28" s="5" t="s">
        <v>47</v>
      </c>
      <c r="AC28" s="5" t="s">
        <v>40</v>
      </c>
      <c r="AD28" s="20"/>
      <c r="AE28" s="20"/>
      <c r="AF28" s="20"/>
      <c r="AG28" s="20"/>
    </row>
    <row r="29" spans="1:33" ht="12.5" x14ac:dyDescent="0.25">
      <c r="A29" s="29">
        <v>3</v>
      </c>
      <c r="B29" s="30" t="s">
        <v>41</v>
      </c>
      <c r="C29" s="30" t="s">
        <v>102</v>
      </c>
      <c r="D29" s="19">
        <v>1</v>
      </c>
      <c r="E29" s="6"/>
      <c r="F29" s="6"/>
      <c r="G29" s="19"/>
      <c r="H29" s="22"/>
      <c r="I29" s="22"/>
      <c r="J29" s="19">
        <v>1</v>
      </c>
      <c r="K29" s="6"/>
      <c r="L29" s="6"/>
      <c r="M29" s="6"/>
      <c r="N29" s="21"/>
      <c r="O29" s="6"/>
      <c r="P29" s="19">
        <v>2</v>
      </c>
      <c r="Q29" s="6"/>
      <c r="R29" s="6"/>
      <c r="S29" s="6"/>
      <c r="T29" s="6"/>
      <c r="U29" s="6"/>
      <c r="V29" s="6"/>
      <c r="W29" s="6"/>
      <c r="X29" s="19">
        <v>1</v>
      </c>
      <c r="Y29" s="6"/>
      <c r="Z29" s="9" t="s">
        <v>103</v>
      </c>
      <c r="AA29" s="10" t="s">
        <v>104</v>
      </c>
      <c r="AB29" s="9" t="s">
        <v>47</v>
      </c>
      <c r="AC29" s="9" t="s">
        <v>51</v>
      </c>
      <c r="AD29" s="9">
        <v>40236</v>
      </c>
      <c r="AE29" s="21"/>
      <c r="AF29" s="21"/>
      <c r="AG29" s="6"/>
    </row>
    <row r="30" spans="1:33" ht="12.5" x14ac:dyDescent="0.25">
      <c r="A30" s="29">
        <v>3</v>
      </c>
      <c r="B30" s="30" t="s">
        <v>41</v>
      </c>
      <c r="C30" s="30" t="s">
        <v>102</v>
      </c>
      <c r="D30" s="6"/>
      <c r="E30" s="6"/>
      <c r="F30" s="19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5">
        <v>5</v>
      </c>
      <c r="Z30" s="5" t="s">
        <v>103</v>
      </c>
      <c r="AA30" s="7" t="s">
        <v>104</v>
      </c>
      <c r="AB30" s="5" t="s">
        <v>47</v>
      </c>
      <c r="AC30" s="5" t="s">
        <v>51</v>
      </c>
      <c r="AD30" s="19">
        <v>40236</v>
      </c>
      <c r="AE30" s="6"/>
      <c r="AF30" s="6"/>
      <c r="AG30" s="19"/>
    </row>
    <row r="31" spans="1:33" ht="12.5" x14ac:dyDescent="0.25">
      <c r="A31" s="26">
        <v>3</v>
      </c>
      <c r="B31" s="27" t="s">
        <v>41</v>
      </c>
      <c r="C31" s="27" t="s">
        <v>116</v>
      </c>
      <c r="D31" s="19">
        <v>3</v>
      </c>
      <c r="E31" s="6"/>
      <c r="F31" s="6"/>
      <c r="G31" s="6"/>
      <c r="H31" s="6"/>
      <c r="I31" s="6"/>
      <c r="J31" s="6"/>
      <c r="K31" s="19">
        <v>1</v>
      </c>
      <c r="L31" s="6"/>
      <c r="M31" s="19">
        <v>1</v>
      </c>
      <c r="N31" s="19">
        <v>3</v>
      </c>
      <c r="O31" s="19">
        <v>2</v>
      </c>
      <c r="P31" s="19">
        <v>1</v>
      </c>
      <c r="Q31" s="6"/>
      <c r="R31" s="19">
        <v>1</v>
      </c>
      <c r="S31" s="6"/>
      <c r="T31" s="6"/>
      <c r="U31" s="6"/>
      <c r="V31" s="6"/>
      <c r="W31" s="6"/>
      <c r="X31" s="6"/>
      <c r="Y31" s="6"/>
      <c r="Z31" s="9" t="s">
        <v>117</v>
      </c>
      <c r="AA31" s="10" t="s">
        <v>118</v>
      </c>
      <c r="AB31" s="9" t="s">
        <v>39</v>
      </c>
      <c r="AC31" s="9" t="s">
        <v>40</v>
      </c>
      <c r="AD31" s="6"/>
      <c r="AE31" s="6"/>
      <c r="AF31" s="6"/>
      <c r="AG31" s="6"/>
    </row>
    <row r="32" spans="1:33" ht="12.5" x14ac:dyDescent="0.25">
      <c r="A32" s="26">
        <v>3</v>
      </c>
      <c r="B32" s="27" t="s">
        <v>41</v>
      </c>
      <c r="C32" s="27" t="s">
        <v>119</v>
      </c>
      <c r="D32" s="6"/>
      <c r="E32" s="6"/>
      <c r="F32" s="6"/>
      <c r="G32" s="6"/>
      <c r="H32" s="6"/>
      <c r="I32" s="6"/>
      <c r="J32" s="6"/>
      <c r="K32" s="6"/>
      <c r="L32" s="19">
        <v>1</v>
      </c>
      <c r="M32" s="6"/>
      <c r="N32" s="6"/>
      <c r="O32" s="6"/>
      <c r="P32" s="19">
        <v>1</v>
      </c>
      <c r="Q32" s="6"/>
      <c r="R32" s="6"/>
      <c r="S32" s="6"/>
      <c r="T32" s="6"/>
      <c r="U32" s="6"/>
      <c r="V32" s="19"/>
      <c r="W32" s="6"/>
      <c r="X32" s="6"/>
      <c r="Y32" s="6"/>
      <c r="Z32" s="5" t="s">
        <v>120</v>
      </c>
      <c r="AA32" s="7" t="s">
        <v>121</v>
      </c>
      <c r="AB32" s="5" t="s">
        <v>39</v>
      </c>
      <c r="AC32" s="5" t="s">
        <v>40</v>
      </c>
      <c r="AD32" s="20"/>
      <c r="AE32" s="20"/>
      <c r="AF32" s="20"/>
      <c r="AG32" s="6"/>
    </row>
    <row r="33" spans="1:33" ht="12.5" x14ac:dyDescent="0.25">
      <c r="A33" s="26">
        <v>3</v>
      </c>
      <c r="B33" s="27" t="s">
        <v>41</v>
      </c>
      <c r="C33" s="27" t="s">
        <v>150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19">
        <v>1</v>
      </c>
      <c r="W33" s="19">
        <v>1</v>
      </c>
      <c r="X33" s="6"/>
      <c r="Y33" s="9"/>
      <c r="Z33" s="9" t="s">
        <v>151</v>
      </c>
      <c r="AA33" s="10" t="s">
        <v>152</v>
      </c>
      <c r="AB33" s="9" t="s">
        <v>47</v>
      </c>
      <c r="AC33" s="9" t="s">
        <v>40</v>
      </c>
      <c r="AD33" s="21"/>
      <c r="AE33" s="21"/>
      <c r="AF33" s="21"/>
      <c r="AG33" s="6"/>
    </row>
    <row r="34" spans="1:33" ht="12.5" x14ac:dyDescent="0.25">
      <c r="A34" s="26">
        <v>3</v>
      </c>
      <c r="B34" s="27" t="s">
        <v>41</v>
      </c>
      <c r="C34" s="27" t="s">
        <v>153</v>
      </c>
      <c r="D34" s="6"/>
      <c r="E34" s="6"/>
      <c r="F34" s="20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19">
        <v>1</v>
      </c>
      <c r="S34" s="6"/>
      <c r="T34" s="6"/>
      <c r="U34" s="19">
        <v>1</v>
      </c>
      <c r="V34" s="19">
        <v>1</v>
      </c>
      <c r="W34" s="6"/>
      <c r="X34" s="19">
        <v>1</v>
      </c>
      <c r="Y34" s="6"/>
      <c r="Z34" s="5" t="s">
        <v>154</v>
      </c>
      <c r="AA34" s="7" t="s">
        <v>155</v>
      </c>
      <c r="AB34" s="5" t="s">
        <v>47</v>
      </c>
      <c r="AC34" s="5" t="s">
        <v>40</v>
      </c>
      <c r="AD34" s="6"/>
      <c r="AE34" s="6"/>
      <c r="AF34" s="6"/>
      <c r="AG34" s="20"/>
    </row>
    <row r="35" spans="1:33" ht="12.5" x14ac:dyDescent="0.25">
      <c r="A35" s="26">
        <v>3</v>
      </c>
      <c r="B35" s="27" t="s">
        <v>41</v>
      </c>
      <c r="C35" s="27" t="s">
        <v>190</v>
      </c>
      <c r="D35" s="6"/>
      <c r="E35" s="6"/>
      <c r="F35" s="21"/>
      <c r="G35" s="6"/>
      <c r="H35" s="6"/>
      <c r="I35" s="6"/>
      <c r="J35" s="6"/>
      <c r="K35" s="6"/>
      <c r="L35" s="6"/>
      <c r="M35" s="6"/>
      <c r="N35" s="19" t="s">
        <v>193</v>
      </c>
      <c r="O35" s="6"/>
      <c r="P35" s="19">
        <v>2</v>
      </c>
      <c r="Q35" s="6"/>
      <c r="R35" s="6"/>
      <c r="S35" s="6"/>
      <c r="T35" s="6"/>
      <c r="U35" s="6"/>
      <c r="V35" s="6"/>
      <c r="W35" s="6"/>
      <c r="X35" s="6"/>
      <c r="Y35" s="6"/>
      <c r="Z35" s="9" t="s">
        <v>191</v>
      </c>
      <c r="AA35" s="10" t="s">
        <v>192</v>
      </c>
      <c r="AB35" s="9" t="s">
        <v>47</v>
      </c>
      <c r="AC35" s="9" t="s">
        <v>40</v>
      </c>
      <c r="AD35" s="21"/>
      <c r="AE35" s="21"/>
      <c r="AF35" s="21"/>
      <c r="AG35" s="6"/>
    </row>
    <row r="36" spans="1:33" ht="12.5" x14ac:dyDescent="0.25">
      <c r="A36" s="26">
        <v>3</v>
      </c>
      <c r="B36" s="27" t="s">
        <v>41</v>
      </c>
      <c r="C36" s="27" t="s">
        <v>205</v>
      </c>
      <c r="D36" s="6"/>
      <c r="E36" s="6"/>
      <c r="F36" s="6"/>
      <c r="G36" s="19"/>
      <c r="H36" s="19"/>
      <c r="I36" s="19"/>
      <c r="J36" s="19">
        <v>1</v>
      </c>
      <c r="K36" s="19">
        <v>1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5" t="s">
        <v>206</v>
      </c>
      <c r="AA36" s="7" t="s">
        <v>207</v>
      </c>
      <c r="AB36" s="5" t="s">
        <v>47</v>
      </c>
      <c r="AC36" s="5" t="s">
        <v>51</v>
      </c>
      <c r="AD36" s="19">
        <v>56840</v>
      </c>
      <c r="AE36" s="6"/>
      <c r="AF36" s="6"/>
      <c r="AG36" s="6"/>
    </row>
    <row r="37" spans="1:33" ht="12.5" x14ac:dyDescent="0.25">
      <c r="A37" s="26">
        <v>3</v>
      </c>
      <c r="B37" s="27" t="s">
        <v>41</v>
      </c>
      <c r="C37" s="27" t="s">
        <v>250</v>
      </c>
      <c r="D37" s="6"/>
      <c r="E37" s="6"/>
      <c r="F37" s="6"/>
      <c r="G37" s="6"/>
      <c r="H37" s="6"/>
      <c r="I37" s="6"/>
      <c r="J37" s="6"/>
      <c r="K37" s="6"/>
      <c r="L37" s="19">
        <v>1</v>
      </c>
      <c r="M37" s="19">
        <v>1</v>
      </c>
      <c r="N37" s="6"/>
      <c r="O37" s="19">
        <v>1</v>
      </c>
      <c r="P37" s="6"/>
      <c r="Q37" s="6"/>
      <c r="R37" s="6"/>
      <c r="S37" s="6"/>
      <c r="T37" s="6"/>
      <c r="U37" s="19">
        <v>1</v>
      </c>
      <c r="V37" s="6"/>
      <c r="W37" s="6"/>
      <c r="X37" s="6"/>
      <c r="Y37" s="6"/>
      <c r="Z37" s="9" t="s">
        <v>251</v>
      </c>
      <c r="AA37" s="10" t="s">
        <v>252</v>
      </c>
      <c r="AB37" s="9" t="s">
        <v>47</v>
      </c>
      <c r="AC37" s="9" t="s">
        <v>40</v>
      </c>
      <c r="AD37" s="21"/>
      <c r="AE37" s="21"/>
      <c r="AF37" s="21"/>
      <c r="AG37" s="6"/>
    </row>
    <row r="38" spans="1:33" ht="12.5" x14ac:dyDescent="0.25">
      <c r="A38" s="26">
        <v>3</v>
      </c>
      <c r="B38" s="27" t="s">
        <v>41</v>
      </c>
      <c r="C38" s="27" t="s">
        <v>262</v>
      </c>
      <c r="D38" s="19">
        <v>1</v>
      </c>
      <c r="E38" s="19">
        <v>1</v>
      </c>
      <c r="F38" s="19" t="s">
        <v>265</v>
      </c>
      <c r="G38" s="23">
        <v>1</v>
      </c>
      <c r="H38" s="23">
        <v>1</v>
      </c>
      <c r="I38" s="6"/>
      <c r="J38" s="6"/>
      <c r="K38" s="6"/>
      <c r="L38" s="6"/>
      <c r="M38" s="6"/>
      <c r="N38" s="6"/>
      <c r="O38" s="19">
        <v>1</v>
      </c>
      <c r="P38" s="19">
        <v>1</v>
      </c>
      <c r="Q38" s="6"/>
      <c r="R38" s="6"/>
      <c r="S38" s="6"/>
      <c r="T38" s="6"/>
      <c r="U38" s="6"/>
      <c r="V38" s="6"/>
      <c r="W38" s="6"/>
      <c r="X38" s="6"/>
      <c r="Y38" s="6"/>
      <c r="Z38" s="5" t="s">
        <v>263</v>
      </c>
      <c r="AA38" s="7" t="s">
        <v>264</v>
      </c>
      <c r="AB38" s="5" t="s">
        <v>47</v>
      </c>
      <c r="AC38" s="5" t="s">
        <v>40</v>
      </c>
      <c r="AD38" s="6"/>
      <c r="AE38" s="6"/>
      <c r="AF38" s="6"/>
      <c r="AG38" s="6"/>
    </row>
    <row r="39" spans="1:33" ht="12.5" x14ac:dyDescent="0.25">
      <c r="A39" s="26">
        <v>3</v>
      </c>
      <c r="B39" s="27" t="s">
        <v>41</v>
      </c>
      <c r="C39" s="27" t="s">
        <v>273</v>
      </c>
      <c r="D39" s="6"/>
      <c r="E39" s="6"/>
      <c r="F39" s="6"/>
      <c r="G39" s="19"/>
      <c r="H39" s="19"/>
      <c r="I39" s="19"/>
      <c r="J39" s="19">
        <v>4</v>
      </c>
      <c r="K39" s="6"/>
      <c r="L39" s="6"/>
      <c r="M39" s="6"/>
      <c r="N39" s="21"/>
      <c r="O39" s="19">
        <v>1</v>
      </c>
      <c r="P39" s="19">
        <v>3</v>
      </c>
      <c r="Q39" s="6"/>
      <c r="R39" s="6"/>
      <c r="S39" s="6"/>
      <c r="T39" s="6"/>
      <c r="U39" s="6"/>
      <c r="V39" s="6"/>
      <c r="W39" s="6"/>
      <c r="X39" s="6"/>
      <c r="Y39" s="6"/>
      <c r="Z39" s="9" t="s">
        <v>274</v>
      </c>
      <c r="AA39" s="10" t="s">
        <v>155</v>
      </c>
      <c r="AB39" s="9" t="s">
        <v>47</v>
      </c>
      <c r="AC39" s="9" t="s">
        <v>40</v>
      </c>
      <c r="AD39" s="6"/>
      <c r="AE39" s="6"/>
      <c r="AF39" s="6"/>
      <c r="AG39" s="6"/>
    </row>
    <row r="40" spans="1:33" ht="12.5" x14ac:dyDescent="0.25">
      <c r="A40" s="26">
        <v>3</v>
      </c>
      <c r="B40" s="27" t="s">
        <v>41</v>
      </c>
      <c r="C40" s="27" t="s">
        <v>284</v>
      </c>
      <c r="D40" s="19">
        <v>2</v>
      </c>
      <c r="E40" s="6"/>
      <c r="F40" s="6"/>
      <c r="G40" s="6"/>
      <c r="H40" s="6"/>
      <c r="I40" s="6"/>
      <c r="J40" s="6"/>
      <c r="K40" s="6"/>
      <c r="L40" s="6"/>
      <c r="M40" s="6"/>
      <c r="N40" s="20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5" t="s">
        <v>285</v>
      </c>
      <c r="AA40" s="7" t="s">
        <v>286</v>
      </c>
      <c r="AB40" s="5" t="s">
        <v>47</v>
      </c>
      <c r="AC40" s="5" t="s">
        <v>51</v>
      </c>
      <c r="AD40" s="31" t="s">
        <v>287</v>
      </c>
      <c r="AE40" s="6"/>
      <c r="AF40" s="6"/>
      <c r="AG40" s="19" t="s">
        <v>288</v>
      </c>
    </row>
    <row r="41" spans="1:33" ht="12.5" x14ac:dyDescent="0.25">
      <c r="A41" s="26">
        <v>3</v>
      </c>
      <c r="B41" s="27" t="s">
        <v>41</v>
      </c>
      <c r="C41" s="27" t="s">
        <v>298</v>
      </c>
      <c r="D41" s="6"/>
      <c r="E41" s="19">
        <v>5</v>
      </c>
      <c r="F41" s="19" t="s">
        <v>299</v>
      </c>
      <c r="G41" s="22">
        <v>5</v>
      </c>
      <c r="H41" s="19"/>
      <c r="I41" s="22">
        <v>5</v>
      </c>
      <c r="J41" s="19">
        <v>5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9" t="s">
        <v>198</v>
      </c>
      <c r="AA41" s="10" t="s">
        <v>199</v>
      </c>
      <c r="AB41" s="9" t="s">
        <v>47</v>
      </c>
      <c r="AC41" s="9" t="s">
        <v>40</v>
      </c>
      <c r="AD41" s="6"/>
      <c r="AE41" s="6"/>
      <c r="AF41" s="6"/>
      <c r="AG41" s="6"/>
    </row>
    <row r="42" spans="1:33" ht="12.5" x14ac:dyDescent="0.25">
      <c r="A42" s="26">
        <v>3</v>
      </c>
      <c r="B42" s="27" t="s">
        <v>41</v>
      </c>
      <c r="C42" s="27" t="s">
        <v>102</v>
      </c>
      <c r="D42" s="19">
        <v>8</v>
      </c>
      <c r="E42" s="6"/>
      <c r="F42" s="6"/>
      <c r="G42" s="19"/>
      <c r="H42" s="19"/>
      <c r="I42" s="19"/>
      <c r="J42" s="19">
        <v>7</v>
      </c>
      <c r="K42" s="19">
        <v>3</v>
      </c>
      <c r="L42" s="6"/>
      <c r="M42" s="19">
        <v>2</v>
      </c>
      <c r="N42" s="6"/>
      <c r="O42" s="6"/>
      <c r="P42" s="19">
        <v>15</v>
      </c>
      <c r="Q42" s="6"/>
      <c r="R42" s="6"/>
      <c r="S42" s="6"/>
      <c r="T42" s="6"/>
      <c r="U42" s="6"/>
      <c r="V42" s="6"/>
      <c r="W42" s="6"/>
      <c r="X42" s="6"/>
      <c r="Y42" s="6"/>
      <c r="Z42" s="5" t="s">
        <v>103</v>
      </c>
      <c r="AA42" s="7" t="s">
        <v>104</v>
      </c>
      <c r="AB42" s="5" t="s">
        <v>47</v>
      </c>
      <c r="AC42" s="5" t="s">
        <v>51</v>
      </c>
      <c r="AD42" s="19">
        <v>40236</v>
      </c>
      <c r="AE42" s="6"/>
      <c r="AF42" s="6"/>
      <c r="AG42" s="6"/>
    </row>
    <row r="43" spans="1:33" ht="12.5" x14ac:dyDescent="0.25">
      <c r="A43" s="32">
        <v>4</v>
      </c>
      <c r="B43" s="33" t="s">
        <v>133</v>
      </c>
      <c r="C43" s="33" t="s">
        <v>130</v>
      </c>
      <c r="D43" s="6"/>
      <c r="E43" s="28">
        <v>1</v>
      </c>
      <c r="F43" s="19" t="s">
        <v>129</v>
      </c>
      <c r="G43" s="6"/>
      <c r="H43" s="23">
        <v>2</v>
      </c>
      <c r="I43" s="6"/>
      <c r="J43" s="6"/>
      <c r="K43" s="19">
        <v>2</v>
      </c>
      <c r="L43" s="19">
        <v>2</v>
      </c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9" t="s">
        <v>131</v>
      </c>
      <c r="AA43" s="10" t="s">
        <v>132</v>
      </c>
      <c r="AB43" s="9" t="s">
        <v>39</v>
      </c>
      <c r="AC43" s="9" t="s">
        <v>40</v>
      </c>
      <c r="AD43" s="21"/>
      <c r="AE43" s="21"/>
      <c r="AF43" s="21"/>
      <c r="AG43" s="6"/>
    </row>
    <row r="44" spans="1:33" ht="12.5" x14ac:dyDescent="0.25">
      <c r="A44" s="32">
        <v>4</v>
      </c>
      <c r="B44" s="33" t="s">
        <v>133</v>
      </c>
      <c r="C44" s="33" t="s">
        <v>213</v>
      </c>
      <c r="D44" s="19">
        <v>8</v>
      </c>
      <c r="E44" s="22">
        <v>1</v>
      </c>
      <c r="F44" s="19" t="s">
        <v>212</v>
      </c>
      <c r="G44" s="23">
        <v>2</v>
      </c>
      <c r="H44" s="6"/>
      <c r="I44" s="6"/>
      <c r="J44" s="6"/>
      <c r="K44" s="6"/>
      <c r="L44" s="19">
        <v>1</v>
      </c>
      <c r="M44" s="6"/>
      <c r="N44" s="19">
        <v>1</v>
      </c>
      <c r="O44" s="6"/>
      <c r="P44" s="6"/>
      <c r="Q44" s="6"/>
      <c r="R44" s="6"/>
      <c r="S44" s="6"/>
      <c r="T44" s="6"/>
      <c r="U44" s="6"/>
      <c r="V44" s="6"/>
      <c r="W44" s="6"/>
      <c r="X44" s="19"/>
      <c r="Y44" s="6"/>
      <c r="Z44" s="5" t="s">
        <v>214</v>
      </c>
      <c r="AA44" s="7" t="s">
        <v>215</v>
      </c>
      <c r="AB44" s="5" t="s">
        <v>47</v>
      </c>
      <c r="AC44" s="5" t="s">
        <v>40</v>
      </c>
      <c r="AD44" s="20"/>
      <c r="AE44" s="6"/>
      <c r="AF44" s="6"/>
      <c r="AG44" s="6"/>
    </row>
    <row r="45" spans="1:33" ht="12.5" x14ac:dyDescent="0.25">
      <c r="A45" s="32">
        <v>4</v>
      </c>
      <c r="B45" s="33" t="s">
        <v>133</v>
      </c>
      <c r="C45" s="33" t="s">
        <v>302</v>
      </c>
      <c r="D45" s="22">
        <v>2</v>
      </c>
      <c r="E45" s="6"/>
      <c r="F45" s="6"/>
      <c r="G45" s="6"/>
      <c r="H45" s="6"/>
      <c r="I45" s="6"/>
      <c r="J45" s="6"/>
      <c r="K45" s="6"/>
      <c r="L45" s="6"/>
      <c r="M45" s="19" t="s">
        <v>301</v>
      </c>
      <c r="N45" s="6"/>
      <c r="O45" s="6"/>
      <c r="P45" s="19" t="s">
        <v>300</v>
      </c>
      <c r="Q45" s="6"/>
      <c r="R45" s="6"/>
      <c r="S45" s="6"/>
      <c r="T45" s="6"/>
      <c r="U45" s="6"/>
      <c r="V45" s="6"/>
      <c r="W45" s="6"/>
      <c r="X45" s="6"/>
      <c r="Y45" s="6"/>
      <c r="Z45" s="9" t="s">
        <v>303</v>
      </c>
      <c r="AA45" s="10" t="s">
        <v>304</v>
      </c>
      <c r="AB45" s="9" t="s">
        <v>47</v>
      </c>
      <c r="AC45" s="9" t="s">
        <v>40</v>
      </c>
      <c r="AD45" s="21"/>
      <c r="AE45" s="21"/>
      <c r="AF45" s="21"/>
      <c r="AG45" s="19" t="s">
        <v>305</v>
      </c>
    </row>
    <row r="46" spans="1:33" ht="12.5" x14ac:dyDescent="0.25">
      <c r="A46" s="34">
        <v>6</v>
      </c>
      <c r="B46" s="35" t="s">
        <v>52</v>
      </c>
      <c r="C46" s="35" t="s">
        <v>48</v>
      </c>
      <c r="D46" s="19">
        <v>1</v>
      </c>
      <c r="E46" s="6"/>
      <c r="F46" s="20"/>
      <c r="G46" s="6"/>
      <c r="H46" s="6"/>
      <c r="I46" s="6"/>
      <c r="J46" s="6"/>
      <c r="K46" s="19">
        <v>1</v>
      </c>
      <c r="L46" s="19">
        <v>1</v>
      </c>
      <c r="M46" s="6"/>
      <c r="N46" s="20"/>
      <c r="O46" s="6"/>
      <c r="P46" s="6"/>
      <c r="Q46" s="6"/>
      <c r="R46" s="6"/>
      <c r="S46" s="6"/>
      <c r="T46" s="19">
        <v>1</v>
      </c>
      <c r="U46" s="6"/>
      <c r="V46" s="6"/>
      <c r="W46" s="6"/>
      <c r="X46" s="6"/>
      <c r="Y46" s="6"/>
      <c r="Z46" s="5" t="s">
        <v>49</v>
      </c>
      <c r="AA46" s="7" t="s">
        <v>50</v>
      </c>
      <c r="AB46" s="5" t="s">
        <v>47</v>
      </c>
      <c r="AC46" s="5" t="s">
        <v>51</v>
      </c>
      <c r="AD46" s="19">
        <v>48484</v>
      </c>
      <c r="AE46" s="19" t="s">
        <v>48</v>
      </c>
      <c r="AF46" s="19" t="s">
        <v>53</v>
      </c>
      <c r="AG46" s="6"/>
    </row>
    <row r="47" spans="1:33" ht="12.5" x14ac:dyDescent="0.25">
      <c r="A47" s="34">
        <v>6</v>
      </c>
      <c r="B47" s="35" t="s">
        <v>52</v>
      </c>
      <c r="C47" s="35" t="s">
        <v>54</v>
      </c>
      <c r="D47" s="19">
        <v>4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9" t="s">
        <v>55</v>
      </c>
      <c r="AA47" s="10" t="s">
        <v>56</v>
      </c>
      <c r="AB47" s="9" t="s">
        <v>47</v>
      </c>
      <c r="AC47" s="9" t="s">
        <v>51</v>
      </c>
      <c r="AD47" s="9">
        <v>43004</v>
      </c>
      <c r="AE47" s="9" t="s">
        <v>54</v>
      </c>
      <c r="AF47" s="9" t="s">
        <v>57</v>
      </c>
      <c r="AG47" s="6"/>
    </row>
    <row r="48" spans="1:33" ht="12.5" x14ac:dyDescent="0.25">
      <c r="A48" s="34">
        <v>6</v>
      </c>
      <c r="B48" s="35" t="s">
        <v>52</v>
      </c>
      <c r="C48" s="35" t="s">
        <v>75</v>
      </c>
      <c r="D48" s="19">
        <v>2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5" t="s">
        <v>76</v>
      </c>
      <c r="AA48" s="7" t="s">
        <v>77</v>
      </c>
      <c r="AB48" s="5" t="s">
        <v>47</v>
      </c>
      <c r="AC48" s="5" t="s">
        <v>51</v>
      </c>
      <c r="AD48" s="5">
        <v>52647</v>
      </c>
      <c r="AE48" s="5" t="s">
        <v>75</v>
      </c>
      <c r="AF48" s="5" t="s">
        <v>78</v>
      </c>
      <c r="AG48" s="6"/>
    </row>
    <row r="49" spans="1:33" ht="12.5" x14ac:dyDescent="0.25">
      <c r="A49" s="34">
        <v>6</v>
      </c>
      <c r="B49" s="35" t="s">
        <v>52</v>
      </c>
      <c r="C49" s="35" t="s">
        <v>93</v>
      </c>
      <c r="D49" s="6"/>
      <c r="E49" s="28">
        <v>6</v>
      </c>
      <c r="F49" s="19" t="s">
        <v>92</v>
      </c>
      <c r="G49" s="6"/>
      <c r="H49" s="23">
        <v>6</v>
      </c>
      <c r="I49" s="23">
        <v>6</v>
      </c>
      <c r="J49" s="6"/>
      <c r="K49" s="6"/>
      <c r="L49" s="6"/>
      <c r="M49" s="6"/>
      <c r="N49" s="6"/>
      <c r="O49" s="19">
        <v>2</v>
      </c>
      <c r="P49" s="19">
        <v>3</v>
      </c>
      <c r="Q49" s="6"/>
      <c r="R49" s="6"/>
      <c r="S49" s="6"/>
      <c r="T49" s="6"/>
      <c r="U49" s="6"/>
      <c r="V49" s="6"/>
      <c r="W49" s="6"/>
      <c r="X49" s="6"/>
      <c r="Y49" s="6"/>
      <c r="Z49" s="9" t="s">
        <v>94</v>
      </c>
      <c r="AA49" s="10" t="s">
        <v>95</v>
      </c>
      <c r="AB49" s="9" t="s">
        <v>47</v>
      </c>
      <c r="AC49" s="9" t="s">
        <v>51</v>
      </c>
      <c r="AD49" s="10" t="s">
        <v>96</v>
      </c>
      <c r="AE49" s="9" t="s">
        <v>97</v>
      </c>
      <c r="AF49" s="9" t="s">
        <v>98</v>
      </c>
      <c r="AG49" s="6"/>
    </row>
    <row r="50" spans="1:33" ht="12.5" x14ac:dyDescent="0.25">
      <c r="A50" s="34">
        <v>6</v>
      </c>
      <c r="B50" s="35" t="s">
        <v>52</v>
      </c>
      <c r="C50" s="35" t="s">
        <v>106</v>
      </c>
      <c r="D50" s="6"/>
      <c r="E50" s="28">
        <v>1</v>
      </c>
      <c r="F50" s="19" t="s">
        <v>105</v>
      </c>
      <c r="G50" s="23">
        <v>1</v>
      </c>
      <c r="H50" s="23">
        <v>1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19">
        <v>1</v>
      </c>
      <c r="V50" s="6"/>
      <c r="W50" s="6"/>
      <c r="X50" s="6"/>
      <c r="Y50" s="6"/>
      <c r="Z50" s="5" t="s">
        <v>107</v>
      </c>
      <c r="AA50" s="7" t="s">
        <v>108</v>
      </c>
      <c r="AB50" s="5" t="s">
        <v>47</v>
      </c>
      <c r="AC50" s="5" t="s">
        <v>51</v>
      </c>
      <c r="AD50" s="5">
        <v>86771</v>
      </c>
      <c r="AE50" s="5" t="s">
        <v>106</v>
      </c>
      <c r="AF50" s="5" t="s">
        <v>109</v>
      </c>
      <c r="AG50" s="6"/>
    </row>
    <row r="51" spans="1:33" ht="12.5" x14ac:dyDescent="0.25">
      <c r="A51" s="34">
        <v>6</v>
      </c>
      <c r="B51" s="35" t="s">
        <v>52</v>
      </c>
      <c r="C51" s="35" t="s">
        <v>125</v>
      </c>
      <c r="D51" s="6"/>
      <c r="E51" s="6"/>
      <c r="F51" s="6"/>
      <c r="G51" s="19"/>
      <c r="H51" s="19"/>
      <c r="I51" s="19"/>
      <c r="J51" s="19">
        <v>2</v>
      </c>
      <c r="K51" s="6"/>
      <c r="L51" s="6"/>
      <c r="M51" s="19">
        <v>2</v>
      </c>
      <c r="N51" s="21"/>
      <c r="O51" s="19">
        <v>2</v>
      </c>
      <c r="P51" s="6"/>
      <c r="Q51" s="6"/>
      <c r="R51" s="6"/>
      <c r="S51" s="6"/>
      <c r="T51" s="6"/>
      <c r="U51" s="6"/>
      <c r="V51" s="6"/>
      <c r="W51" s="6"/>
      <c r="X51" s="6"/>
      <c r="Y51" s="6"/>
      <c r="Z51" s="9" t="s">
        <v>126</v>
      </c>
      <c r="AA51" s="10" t="s">
        <v>127</v>
      </c>
      <c r="AB51" s="9" t="s">
        <v>47</v>
      </c>
      <c r="AC51" s="9" t="s">
        <v>51</v>
      </c>
      <c r="AD51" s="9">
        <v>37186</v>
      </c>
      <c r="AE51" s="9" t="s">
        <v>125</v>
      </c>
      <c r="AF51" s="9" t="s">
        <v>128</v>
      </c>
      <c r="AG51" s="6"/>
    </row>
    <row r="52" spans="1:33" ht="12.5" x14ac:dyDescent="0.25">
      <c r="A52" s="34">
        <v>6</v>
      </c>
      <c r="B52" s="35" t="s">
        <v>52</v>
      </c>
      <c r="C52" s="35" t="s">
        <v>134</v>
      </c>
      <c r="D52" s="6"/>
      <c r="E52" s="6"/>
      <c r="F52" s="19"/>
      <c r="G52" s="6"/>
      <c r="H52" s="6"/>
      <c r="I52" s="6"/>
      <c r="J52" s="6"/>
      <c r="K52" s="6"/>
      <c r="L52" s="6"/>
      <c r="M52" s="6"/>
      <c r="N52" s="6"/>
      <c r="O52" s="6"/>
      <c r="P52" s="19">
        <v>0</v>
      </c>
      <c r="Q52" s="19">
        <v>1</v>
      </c>
      <c r="R52" s="19">
        <v>1</v>
      </c>
      <c r="S52" s="19">
        <v>2</v>
      </c>
      <c r="T52" s="6"/>
      <c r="U52" s="6"/>
      <c r="V52" s="6"/>
      <c r="W52" s="6"/>
      <c r="X52" s="6"/>
      <c r="Y52" s="6"/>
      <c r="Z52" s="5" t="s">
        <v>135</v>
      </c>
      <c r="AA52" s="7" t="s">
        <v>136</v>
      </c>
      <c r="AB52" s="5" t="s">
        <v>47</v>
      </c>
      <c r="AC52" s="5" t="s">
        <v>51</v>
      </c>
      <c r="AD52" s="19">
        <v>61391</v>
      </c>
      <c r="AE52" s="19" t="s">
        <v>134</v>
      </c>
      <c r="AF52" s="19" t="s">
        <v>137</v>
      </c>
      <c r="AG52" s="19" t="s">
        <v>138</v>
      </c>
    </row>
    <row r="53" spans="1:33" ht="12.5" x14ac:dyDescent="0.25">
      <c r="A53" s="34">
        <v>6</v>
      </c>
      <c r="B53" s="35" t="s">
        <v>52</v>
      </c>
      <c r="C53" s="35" t="s">
        <v>140</v>
      </c>
      <c r="D53" s="6"/>
      <c r="E53" s="28">
        <v>1</v>
      </c>
      <c r="F53" s="19" t="s">
        <v>139</v>
      </c>
      <c r="G53" s="6"/>
      <c r="H53" s="23">
        <v>1</v>
      </c>
      <c r="I53" s="23">
        <v>1</v>
      </c>
      <c r="J53" s="6"/>
      <c r="K53" s="6"/>
      <c r="L53" s="6"/>
      <c r="M53" s="19">
        <v>1</v>
      </c>
      <c r="N53" s="6"/>
      <c r="O53" s="6"/>
      <c r="P53" s="19">
        <v>1</v>
      </c>
      <c r="Q53" s="6"/>
      <c r="R53" s="6"/>
      <c r="S53" s="6"/>
      <c r="T53" s="6"/>
      <c r="U53" s="6"/>
      <c r="V53" s="6"/>
      <c r="W53" s="6"/>
      <c r="X53" s="6"/>
      <c r="Y53" s="6"/>
      <c r="Z53" s="9" t="s">
        <v>141</v>
      </c>
      <c r="AA53" s="10" t="s">
        <v>142</v>
      </c>
      <c r="AB53" s="9" t="s">
        <v>143</v>
      </c>
      <c r="AC53" s="9" t="s">
        <v>51</v>
      </c>
      <c r="AD53" s="9">
        <v>43941</v>
      </c>
      <c r="AE53" s="9" t="s">
        <v>140</v>
      </c>
      <c r="AF53" s="9" t="s">
        <v>144</v>
      </c>
      <c r="AG53" s="19" t="s">
        <v>145</v>
      </c>
    </row>
    <row r="54" spans="1:33" ht="12.5" x14ac:dyDescent="0.25">
      <c r="A54" s="34">
        <v>6</v>
      </c>
      <c r="B54" s="35" t="s">
        <v>52</v>
      </c>
      <c r="C54" s="35" t="s">
        <v>146</v>
      </c>
      <c r="D54" s="19">
        <v>1</v>
      </c>
      <c r="E54" s="6"/>
      <c r="F54" s="20"/>
      <c r="G54" s="6"/>
      <c r="H54" s="6"/>
      <c r="I54" s="6"/>
      <c r="J54" s="6"/>
      <c r="K54" s="19">
        <v>5</v>
      </c>
      <c r="L54" s="19">
        <v>4</v>
      </c>
      <c r="M54" s="6"/>
      <c r="N54" s="19">
        <v>2</v>
      </c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5" t="s">
        <v>147</v>
      </c>
      <c r="AA54" s="7" t="s">
        <v>148</v>
      </c>
      <c r="AB54" s="5" t="s">
        <v>47</v>
      </c>
      <c r="AC54" s="5" t="s">
        <v>51</v>
      </c>
      <c r="AD54" s="19">
        <v>82540</v>
      </c>
      <c r="AE54" s="5" t="s">
        <v>146</v>
      </c>
      <c r="AF54" s="5" t="s">
        <v>149</v>
      </c>
      <c r="AG54" s="6"/>
    </row>
    <row r="55" spans="1:33" ht="12.5" x14ac:dyDescent="0.25">
      <c r="A55" s="34">
        <v>6</v>
      </c>
      <c r="B55" s="35" t="s">
        <v>52</v>
      </c>
      <c r="C55" s="35" t="s">
        <v>157</v>
      </c>
      <c r="D55" s="19"/>
      <c r="E55" s="28">
        <v>1</v>
      </c>
      <c r="F55" s="19" t="s">
        <v>156</v>
      </c>
      <c r="G55" s="22">
        <v>1</v>
      </c>
      <c r="H55" s="19"/>
      <c r="I55" s="22">
        <v>1</v>
      </c>
      <c r="J55" s="19"/>
      <c r="K55" s="6"/>
      <c r="L55" s="19">
        <v>1</v>
      </c>
      <c r="M55" s="6"/>
      <c r="N55" s="6"/>
      <c r="O55" s="19">
        <v>1</v>
      </c>
      <c r="P55" s="6"/>
      <c r="Q55" s="6"/>
      <c r="R55" s="6"/>
      <c r="S55" s="6"/>
      <c r="T55" s="6"/>
      <c r="U55" s="6"/>
      <c r="V55" s="6"/>
      <c r="W55" s="6"/>
      <c r="X55" s="6"/>
      <c r="Y55" s="6"/>
      <c r="Z55" s="9" t="s">
        <v>158</v>
      </c>
      <c r="AA55" s="10" t="s">
        <v>159</v>
      </c>
      <c r="AB55" s="9" t="s">
        <v>39</v>
      </c>
      <c r="AC55" s="9" t="s">
        <v>51</v>
      </c>
      <c r="AD55" s="19">
        <v>33645</v>
      </c>
      <c r="AE55" s="19" t="s">
        <v>157</v>
      </c>
      <c r="AF55" s="19" t="s">
        <v>160</v>
      </c>
      <c r="AG55" s="6"/>
    </row>
    <row r="56" spans="1:33" ht="12.5" x14ac:dyDescent="0.25">
      <c r="A56" s="34">
        <v>6</v>
      </c>
      <c r="B56" s="35" t="s">
        <v>52</v>
      </c>
      <c r="C56" s="35" t="s">
        <v>162</v>
      </c>
      <c r="D56" s="6"/>
      <c r="E56" s="28">
        <v>1</v>
      </c>
      <c r="F56" s="19" t="s">
        <v>161</v>
      </c>
      <c r="G56" s="6"/>
      <c r="H56" s="23">
        <v>1</v>
      </c>
      <c r="I56" s="23">
        <v>1</v>
      </c>
      <c r="J56" s="6"/>
      <c r="K56" s="19">
        <v>1</v>
      </c>
      <c r="L56" s="19">
        <v>1</v>
      </c>
      <c r="M56" s="19">
        <v>2</v>
      </c>
      <c r="N56" s="6"/>
      <c r="O56" s="19">
        <v>1</v>
      </c>
      <c r="P56" s="6"/>
      <c r="Q56" s="6"/>
      <c r="R56" s="6"/>
      <c r="S56" s="6"/>
      <c r="T56" s="6"/>
      <c r="U56" s="6"/>
      <c r="V56" s="6"/>
      <c r="W56" s="6"/>
      <c r="X56" s="19"/>
      <c r="Y56" s="19"/>
      <c r="Z56" s="5" t="s">
        <v>163</v>
      </c>
      <c r="AA56" s="7" t="s">
        <v>164</v>
      </c>
      <c r="AB56" s="5" t="s">
        <v>47</v>
      </c>
      <c r="AC56" s="5" t="s">
        <v>51</v>
      </c>
      <c r="AD56" s="5">
        <v>27605</v>
      </c>
      <c r="AE56" s="5" t="s">
        <v>162</v>
      </c>
      <c r="AF56" s="5" t="s">
        <v>165</v>
      </c>
      <c r="AG56" s="20"/>
    </row>
    <row r="57" spans="1:33" ht="12.5" x14ac:dyDescent="0.25">
      <c r="A57" s="34">
        <v>6</v>
      </c>
      <c r="B57" s="35" t="s">
        <v>52</v>
      </c>
      <c r="C57" s="35" t="s">
        <v>172</v>
      </c>
      <c r="D57" s="19">
        <v>1</v>
      </c>
      <c r="E57" s="22">
        <v>1</v>
      </c>
      <c r="F57" s="19" t="s">
        <v>176</v>
      </c>
      <c r="G57" s="23">
        <v>2</v>
      </c>
      <c r="H57" s="6"/>
      <c r="I57" s="6"/>
      <c r="J57" s="6"/>
      <c r="K57" s="19">
        <v>2</v>
      </c>
      <c r="L57" s="6"/>
      <c r="M57" s="6"/>
      <c r="N57" s="6"/>
      <c r="O57" s="19">
        <v>1</v>
      </c>
      <c r="P57" s="6"/>
      <c r="Q57" s="6"/>
      <c r="R57" s="6"/>
      <c r="S57" s="6"/>
      <c r="T57" s="6"/>
      <c r="U57" s="19">
        <v>1</v>
      </c>
      <c r="V57" s="6"/>
      <c r="W57" s="6"/>
      <c r="X57" s="6"/>
      <c r="Y57" s="6"/>
      <c r="Z57" s="9" t="s">
        <v>173</v>
      </c>
      <c r="AA57" s="10" t="s">
        <v>174</v>
      </c>
      <c r="AB57" s="9" t="s">
        <v>47</v>
      </c>
      <c r="AC57" s="9" t="s">
        <v>51</v>
      </c>
      <c r="AD57" s="19">
        <v>23063</v>
      </c>
      <c r="AE57" s="19" t="s">
        <v>172</v>
      </c>
      <c r="AF57" s="19" t="s">
        <v>175</v>
      </c>
      <c r="AG57" s="6"/>
    </row>
    <row r="58" spans="1:33" ht="12.5" x14ac:dyDescent="0.25">
      <c r="A58" s="34">
        <v>6</v>
      </c>
      <c r="B58" s="35" t="s">
        <v>52</v>
      </c>
      <c r="C58" s="35" t="s">
        <v>180</v>
      </c>
      <c r="D58" s="6"/>
      <c r="E58" s="6"/>
      <c r="F58" s="20"/>
      <c r="G58" s="19"/>
      <c r="H58" s="19"/>
      <c r="I58" s="19"/>
      <c r="J58" s="19">
        <v>2</v>
      </c>
      <c r="K58" s="6"/>
      <c r="L58" s="6"/>
      <c r="M58" s="6"/>
      <c r="N58" s="6"/>
      <c r="O58" s="6"/>
      <c r="P58" s="6"/>
      <c r="Q58" s="6"/>
      <c r="R58" s="19">
        <v>1</v>
      </c>
      <c r="S58" s="6"/>
      <c r="T58" s="6"/>
      <c r="U58" s="6"/>
      <c r="V58" s="6"/>
      <c r="W58" s="6"/>
      <c r="X58" s="6"/>
      <c r="Y58" s="6"/>
      <c r="Z58" s="5" t="s">
        <v>181</v>
      </c>
      <c r="AA58" s="7" t="s">
        <v>182</v>
      </c>
      <c r="AB58" s="5" t="s">
        <v>47</v>
      </c>
      <c r="AC58" s="5" t="s">
        <v>51</v>
      </c>
      <c r="AD58" s="19">
        <v>38640</v>
      </c>
      <c r="AE58" s="19" t="s">
        <v>180</v>
      </c>
      <c r="AF58" s="19" t="s">
        <v>183</v>
      </c>
      <c r="AG58" s="6"/>
    </row>
    <row r="59" spans="1:33" ht="12.5" x14ac:dyDescent="0.25">
      <c r="A59" s="34">
        <v>6</v>
      </c>
      <c r="B59" s="35" t="s">
        <v>52</v>
      </c>
      <c r="C59" s="35" t="s">
        <v>200</v>
      </c>
      <c r="D59" s="6"/>
      <c r="E59" s="6"/>
      <c r="F59" s="6"/>
      <c r="G59" s="19"/>
      <c r="H59" s="19"/>
      <c r="I59" s="19"/>
      <c r="J59" s="19">
        <v>1</v>
      </c>
      <c r="K59" s="6"/>
      <c r="L59" s="6"/>
      <c r="M59" s="6"/>
      <c r="N59" s="6"/>
      <c r="O59" s="19">
        <v>1</v>
      </c>
      <c r="P59" s="6"/>
      <c r="Q59" s="6"/>
      <c r="R59" s="6"/>
      <c r="S59" s="6"/>
      <c r="T59" s="6"/>
      <c r="U59" s="6"/>
      <c r="V59" s="6"/>
      <c r="W59" s="6"/>
      <c r="X59" s="6"/>
      <c r="Y59" s="6"/>
      <c r="Z59" s="9" t="s">
        <v>201</v>
      </c>
      <c r="AA59" s="10" t="s">
        <v>202</v>
      </c>
      <c r="AB59" s="9" t="s">
        <v>47</v>
      </c>
      <c r="AC59" s="9" t="s">
        <v>51</v>
      </c>
      <c r="AD59" s="31" t="s">
        <v>203</v>
      </c>
      <c r="AE59" s="19" t="s">
        <v>200</v>
      </c>
      <c r="AF59" s="19" t="s">
        <v>204</v>
      </c>
      <c r="AG59" s="6"/>
    </row>
    <row r="60" spans="1:33" ht="12.5" x14ac:dyDescent="0.25">
      <c r="A60" s="34">
        <v>6</v>
      </c>
      <c r="B60" s="35" t="s">
        <v>52</v>
      </c>
      <c r="C60" s="35" t="s">
        <v>208</v>
      </c>
      <c r="D60" s="6"/>
      <c r="E60" s="6"/>
      <c r="F60" s="6"/>
      <c r="G60" s="6"/>
      <c r="H60" s="6"/>
      <c r="I60" s="6"/>
      <c r="J60" s="6"/>
      <c r="K60" s="6"/>
      <c r="L60" s="6"/>
      <c r="M60" s="19">
        <v>10</v>
      </c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5" t="s">
        <v>209</v>
      </c>
      <c r="AA60" s="7" t="s">
        <v>210</v>
      </c>
      <c r="AB60" s="5" t="s">
        <v>47</v>
      </c>
      <c r="AC60" s="5" t="s">
        <v>51</v>
      </c>
      <c r="AD60" s="5">
        <v>13743</v>
      </c>
      <c r="AE60" s="5" t="s">
        <v>208</v>
      </c>
      <c r="AF60" s="5" t="s">
        <v>211</v>
      </c>
      <c r="AG60" s="6"/>
    </row>
    <row r="61" spans="1:33" ht="12.5" x14ac:dyDescent="0.25">
      <c r="A61" s="34">
        <v>6</v>
      </c>
      <c r="B61" s="35" t="s">
        <v>52</v>
      </c>
      <c r="C61" s="35" t="s">
        <v>216</v>
      </c>
      <c r="D61" s="19">
        <v>1</v>
      </c>
      <c r="E61" s="6"/>
      <c r="F61" s="6"/>
      <c r="G61" s="6"/>
      <c r="H61" s="6"/>
      <c r="I61" s="6"/>
      <c r="J61" s="6"/>
      <c r="K61" s="6"/>
      <c r="L61" s="19">
        <v>1</v>
      </c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9" t="s">
        <v>217</v>
      </c>
      <c r="AA61" s="10" t="s">
        <v>218</v>
      </c>
      <c r="AB61" s="9" t="s">
        <v>39</v>
      </c>
      <c r="AC61" s="9" t="s">
        <v>51</v>
      </c>
      <c r="AD61" s="19">
        <v>29149</v>
      </c>
      <c r="AE61" s="19" t="s">
        <v>216</v>
      </c>
      <c r="AF61" s="19" t="s">
        <v>219</v>
      </c>
      <c r="AG61" s="6"/>
    </row>
    <row r="62" spans="1:33" ht="12.5" x14ac:dyDescent="0.25">
      <c r="A62" s="34">
        <v>6</v>
      </c>
      <c r="B62" s="35" t="s">
        <v>52</v>
      </c>
      <c r="C62" s="35" t="s">
        <v>220</v>
      </c>
      <c r="D62" s="19">
        <v>2</v>
      </c>
      <c r="E62" s="6"/>
      <c r="F62" s="6"/>
      <c r="G62" s="6"/>
      <c r="H62" s="6"/>
      <c r="I62" s="6"/>
      <c r="J62" s="6"/>
      <c r="K62" s="19">
        <v>1</v>
      </c>
      <c r="L62" s="6"/>
      <c r="M62" s="19">
        <v>1</v>
      </c>
      <c r="N62" s="6"/>
      <c r="O62" s="19">
        <v>2</v>
      </c>
      <c r="P62" s="6"/>
      <c r="Q62" s="6"/>
      <c r="R62" s="6"/>
      <c r="S62" s="6"/>
      <c r="T62" s="6"/>
      <c r="U62" s="6"/>
      <c r="V62" s="6"/>
      <c r="W62" s="6"/>
      <c r="X62" s="6"/>
      <c r="Y62" s="6"/>
      <c r="Z62" s="5" t="s">
        <v>221</v>
      </c>
      <c r="AA62" s="7" t="s">
        <v>222</v>
      </c>
      <c r="AB62" s="5" t="s">
        <v>47</v>
      </c>
      <c r="AC62" s="5" t="s">
        <v>51</v>
      </c>
      <c r="AD62" s="19">
        <v>33409</v>
      </c>
      <c r="AE62" s="19" t="s">
        <v>223</v>
      </c>
      <c r="AF62" s="19" t="s">
        <v>224</v>
      </c>
      <c r="AG62" s="20"/>
    </row>
    <row r="63" spans="1:33" ht="12.5" x14ac:dyDescent="0.25">
      <c r="A63" s="36">
        <v>6</v>
      </c>
      <c r="B63" s="37" t="s">
        <v>52</v>
      </c>
      <c r="C63" s="37" t="s">
        <v>225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19">
        <v>1</v>
      </c>
      <c r="S63" s="6"/>
      <c r="T63" s="6"/>
      <c r="U63" s="6"/>
      <c r="V63" s="6"/>
      <c r="W63" s="6"/>
      <c r="X63" s="6"/>
      <c r="Y63" s="6"/>
      <c r="Z63" s="9" t="s">
        <v>226</v>
      </c>
      <c r="AA63" s="10" t="s">
        <v>227</v>
      </c>
      <c r="AB63" s="9" t="s">
        <v>47</v>
      </c>
      <c r="AC63" s="9" t="s">
        <v>51</v>
      </c>
      <c r="AD63" s="9" t="s">
        <v>228</v>
      </c>
      <c r="AE63" s="9" t="s">
        <v>225</v>
      </c>
      <c r="AF63" s="9" t="s">
        <v>229</v>
      </c>
      <c r="AG63" s="21"/>
    </row>
    <row r="64" spans="1:33" ht="12.5" x14ac:dyDescent="0.25">
      <c r="A64" s="36">
        <v>6</v>
      </c>
      <c r="B64" s="37" t="s">
        <v>52</v>
      </c>
      <c r="C64" s="37" t="s">
        <v>225</v>
      </c>
      <c r="D64" s="6"/>
      <c r="E64" s="23">
        <v>1</v>
      </c>
      <c r="F64" s="19" t="s">
        <v>230</v>
      </c>
      <c r="G64" s="23">
        <v>1</v>
      </c>
      <c r="H64" s="23">
        <v>1</v>
      </c>
      <c r="I64" s="6"/>
      <c r="J64" s="6"/>
      <c r="K64" s="6"/>
      <c r="L64" s="19">
        <v>1</v>
      </c>
      <c r="M64" s="6"/>
      <c r="N64" s="6"/>
      <c r="O64" s="6"/>
      <c r="P64" s="6"/>
      <c r="Q64" s="6"/>
      <c r="R64" s="19">
        <v>1</v>
      </c>
      <c r="S64" s="6"/>
      <c r="T64" s="6"/>
      <c r="U64" s="6"/>
      <c r="V64" s="6"/>
      <c r="W64" s="6"/>
      <c r="X64" s="6"/>
      <c r="Y64" s="6"/>
      <c r="Z64" s="5" t="s">
        <v>226</v>
      </c>
      <c r="AA64" s="7" t="s">
        <v>227</v>
      </c>
      <c r="AB64" s="5" t="s">
        <v>47</v>
      </c>
      <c r="AC64" s="5" t="s">
        <v>51</v>
      </c>
      <c r="AD64" s="5" t="s">
        <v>228</v>
      </c>
      <c r="AE64" s="19" t="s">
        <v>225</v>
      </c>
      <c r="AF64" s="19" t="s">
        <v>229</v>
      </c>
      <c r="AG64" s="20"/>
    </row>
    <row r="65" spans="1:33" ht="12.5" x14ac:dyDescent="0.25">
      <c r="A65" s="34">
        <v>6</v>
      </c>
      <c r="B65" s="35" t="s">
        <v>52</v>
      </c>
      <c r="C65" s="35" t="s">
        <v>231</v>
      </c>
      <c r="D65" s="19">
        <v>1</v>
      </c>
      <c r="E65" s="6"/>
      <c r="F65" s="6"/>
      <c r="G65" s="6"/>
      <c r="H65" s="6"/>
      <c r="I65" s="6"/>
      <c r="J65" s="6"/>
      <c r="K65" s="6"/>
      <c r="L65" s="19">
        <v>1</v>
      </c>
      <c r="M65" s="6"/>
      <c r="N65" s="19">
        <v>1</v>
      </c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9" t="s">
        <v>232</v>
      </c>
      <c r="AA65" s="10" t="s">
        <v>233</v>
      </c>
      <c r="AB65" s="9" t="s">
        <v>47</v>
      </c>
      <c r="AC65" s="9" t="s">
        <v>51</v>
      </c>
      <c r="AD65" s="9">
        <v>20536</v>
      </c>
      <c r="AE65" s="9" t="s">
        <v>231</v>
      </c>
      <c r="AF65" s="9" t="s">
        <v>234</v>
      </c>
      <c r="AG65" s="6"/>
    </row>
    <row r="66" spans="1:33" ht="12.5" x14ac:dyDescent="0.25">
      <c r="A66" s="34">
        <v>6</v>
      </c>
      <c r="B66" s="35" t="s">
        <v>52</v>
      </c>
      <c r="C66" s="35" t="s">
        <v>238</v>
      </c>
      <c r="D66" s="6"/>
      <c r="E66" s="19">
        <v>2</v>
      </c>
      <c r="F66" s="19" t="s">
        <v>244</v>
      </c>
      <c r="G66" s="22">
        <v>2</v>
      </c>
      <c r="H66" s="22">
        <v>2</v>
      </c>
      <c r="I66" s="19"/>
      <c r="J66" s="19">
        <v>1</v>
      </c>
      <c r="K66" s="19">
        <v>2</v>
      </c>
      <c r="L66" s="6"/>
      <c r="M66" s="19">
        <v>1</v>
      </c>
      <c r="N66" s="6"/>
      <c r="O66" s="19">
        <v>2</v>
      </c>
      <c r="P66" s="6"/>
      <c r="Q66" s="19">
        <v>1</v>
      </c>
      <c r="R66" s="6"/>
      <c r="S66" s="6"/>
      <c r="T66" s="6"/>
      <c r="U66" s="6"/>
      <c r="V66" s="6"/>
      <c r="W66" s="6"/>
      <c r="X66" s="6"/>
      <c r="Y66" s="6"/>
      <c r="Z66" s="5" t="s">
        <v>239</v>
      </c>
      <c r="AA66" s="7" t="s">
        <v>240</v>
      </c>
      <c r="AB66" s="5" t="s">
        <v>65</v>
      </c>
      <c r="AC66" s="5" t="s">
        <v>51</v>
      </c>
      <c r="AD66" s="7" t="s">
        <v>241</v>
      </c>
      <c r="AE66" s="5" t="s">
        <v>242</v>
      </c>
      <c r="AF66" s="5" t="s">
        <v>243</v>
      </c>
      <c r="AG66" s="6"/>
    </row>
    <row r="67" spans="1:33" ht="12.5" x14ac:dyDescent="0.25">
      <c r="A67" s="34">
        <v>6</v>
      </c>
      <c r="B67" s="35" t="s">
        <v>52</v>
      </c>
      <c r="C67" s="35" t="s">
        <v>245</v>
      </c>
      <c r="D67" s="6"/>
      <c r="E67" s="19">
        <v>1</v>
      </c>
      <c r="F67" s="19" t="s">
        <v>249</v>
      </c>
      <c r="G67" s="19"/>
      <c r="H67" s="22">
        <v>2</v>
      </c>
      <c r="I67" s="19"/>
      <c r="J67" s="19">
        <v>1</v>
      </c>
      <c r="K67" s="19">
        <v>1</v>
      </c>
      <c r="L67" s="6"/>
      <c r="M67" s="19">
        <v>3</v>
      </c>
      <c r="N67" s="21"/>
      <c r="O67" s="19">
        <v>1</v>
      </c>
      <c r="P67" s="19">
        <v>1</v>
      </c>
      <c r="Q67" s="6"/>
      <c r="R67" s="6"/>
      <c r="S67" s="6"/>
      <c r="T67" s="6"/>
      <c r="U67" s="6"/>
      <c r="V67" s="6"/>
      <c r="W67" s="6"/>
      <c r="X67" s="6"/>
      <c r="Y67" s="6"/>
      <c r="Z67" s="9" t="s">
        <v>246</v>
      </c>
      <c r="AA67" s="10" t="s">
        <v>247</v>
      </c>
      <c r="AB67" s="9" t="s">
        <v>47</v>
      </c>
      <c r="AC67" s="9" t="s">
        <v>40</v>
      </c>
      <c r="AD67" s="6"/>
      <c r="AE67" s="19" t="s">
        <v>245</v>
      </c>
      <c r="AF67" s="19" t="s">
        <v>248</v>
      </c>
      <c r="AG67" s="6"/>
    </row>
    <row r="68" spans="1:33" ht="12.5" x14ac:dyDescent="0.25">
      <c r="A68" s="34">
        <v>6</v>
      </c>
      <c r="B68" s="35" t="s">
        <v>52</v>
      </c>
      <c r="C68" s="35" t="s">
        <v>253</v>
      </c>
      <c r="D68" s="6"/>
      <c r="E68" s="19">
        <v>7</v>
      </c>
      <c r="F68" s="5" t="s">
        <v>258</v>
      </c>
      <c r="G68" s="23">
        <v>7</v>
      </c>
      <c r="H68" s="23">
        <v>7</v>
      </c>
      <c r="I68" s="6"/>
      <c r="J68" s="6"/>
      <c r="K68" s="6"/>
      <c r="L68" s="6"/>
      <c r="M68" s="19">
        <v>7</v>
      </c>
      <c r="N68" s="6"/>
      <c r="O68" s="6"/>
      <c r="P68" s="19">
        <v>7</v>
      </c>
      <c r="Q68" s="6"/>
      <c r="R68" s="6"/>
      <c r="S68" s="6"/>
      <c r="T68" s="19">
        <v>7</v>
      </c>
      <c r="U68" s="6"/>
      <c r="V68" s="6"/>
      <c r="W68" s="6"/>
      <c r="X68" s="6"/>
      <c r="Y68" s="6"/>
      <c r="Z68" s="5" t="s">
        <v>254</v>
      </c>
      <c r="AA68" s="7" t="s">
        <v>255</v>
      </c>
      <c r="AB68" s="5" t="s">
        <v>143</v>
      </c>
      <c r="AC68" s="5" t="s">
        <v>51</v>
      </c>
      <c r="AD68" s="19">
        <v>52817</v>
      </c>
      <c r="AE68" s="19" t="s">
        <v>253</v>
      </c>
      <c r="AF68" s="19" t="s">
        <v>256</v>
      </c>
      <c r="AG68" s="19" t="s">
        <v>257</v>
      </c>
    </row>
    <row r="69" spans="1:33" ht="12.5" x14ac:dyDescent="0.25">
      <c r="A69" s="34">
        <v>6</v>
      </c>
      <c r="B69" s="35" t="s">
        <v>52</v>
      </c>
      <c r="C69" s="35" t="s">
        <v>269</v>
      </c>
      <c r="D69" s="6"/>
      <c r="E69" s="6"/>
      <c r="F69" s="6"/>
      <c r="G69" s="6"/>
      <c r="H69" s="6"/>
      <c r="I69" s="6"/>
      <c r="J69" s="6"/>
      <c r="K69" s="19">
        <v>1</v>
      </c>
      <c r="L69" s="6"/>
      <c r="M69" s="19">
        <v>1</v>
      </c>
      <c r="N69" s="6"/>
      <c r="O69" s="6"/>
      <c r="P69" s="19">
        <v>1</v>
      </c>
      <c r="Q69" s="19">
        <v>1</v>
      </c>
      <c r="R69" s="6"/>
      <c r="S69" s="6"/>
      <c r="T69" s="6"/>
      <c r="U69" s="6"/>
      <c r="V69" s="6"/>
      <c r="W69" s="6"/>
      <c r="X69" s="6"/>
      <c r="Y69" s="6"/>
      <c r="Z69" s="9" t="s">
        <v>270</v>
      </c>
      <c r="AA69" s="10" t="s">
        <v>271</v>
      </c>
      <c r="AB69" s="9" t="s">
        <v>47</v>
      </c>
      <c r="AC69" s="9" t="s">
        <v>51</v>
      </c>
      <c r="AD69" s="9">
        <v>66456</v>
      </c>
      <c r="AE69" s="19" t="s">
        <v>269</v>
      </c>
      <c r="AF69" s="19" t="s">
        <v>272</v>
      </c>
      <c r="AG69" s="6"/>
    </row>
    <row r="70" spans="1:33" ht="12.5" x14ac:dyDescent="0.25">
      <c r="A70" s="34">
        <v>6</v>
      </c>
      <c r="B70" s="35" t="s">
        <v>52</v>
      </c>
      <c r="C70" s="35" t="s">
        <v>279</v>
      </c>
      <c r="D70" s="19">
        <v>2</v>
      </c>
      <c r="E70" s="6"/>
      <c r="F70" s="6"/>
      <c r="G70" s="6"/>
      <c r="H70" s="6"/>
      <c r="I70" s="6"/>
      <c r="J70" s="6"/>
      <c r="K70" s="19">
        <v>1</v>
      </c>
      <c r="L70" s="19">
        <v>1</v>
      </c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5" t="s">
        <v>280</v>
      </c>
      <c r="AA70" s="7" t="s">
        <v>281</v>
      </c>
      <c r="AB70" s="5" t="s">
        <v>47</v>
      </c>
      <c r="AC70" s="5" t="s">
        <v>51</v>
      </c>
      <c r="AD70" s="19">
        <v>85105</v>
      </c>
      <c r="AE70" s="19" t="s">
        <v>279</v>
      </c>
      <c r="AF70" s="19" t="s">
        <v>282</v>
      </c>
      <c r="AG70" s="5" t="s">
        <v>283</v>
      </c>
    </row>
    <row r="71" spans="1:33" ht="12.5" x14ac:dyDescent="0.25">
      <c r="A71" s="34">
        <v>6</v>
      </c>
      <c r="B71" s="35" t="s">
        <v>52</v>
      </c>
      <c r="C71" s="35" t="s">
        <v>289</v>
      </c>
      <c r="D71" s="19">
        <v>5</v>
      </c>
      <c r="E71" s="6"/>
      <c r="F71" s="6"/>
      <c r="G71" s="6"/>
      <c r="H71" s="6"/>
      <c r="I71" s="6"/>
      <c r="J71" s="6"/>
      <c r="K71" s="6"/>
      <c r="L71" s="6"/>
      <c r="M71" s="19">
        <v>5</v>
      </c>
      <c r="N71" s="6"/>
      <c r="O71" s="19">
        <v>3</v>
      </c>
      <c r="P71" s="6"/>
      <c r="Q71" s="6"/>
      <c r="R71" s="6"/>
      <c r="S71" s="6"/>
      <c r="T71" s="6"/>
      <c r="U71" s="6"/>
      <c r="V71" s="6"/>
      <c r="W71" s="6"/>
      <c r="X71" s="6"/>
      <c r="Y71" s="6"/>
      <c r="Z71" s="9" t="s">
        <v>290</v>
      </c>
      <c r="AA71" s="10" t="s">
        <v>291</v>
      </c>
      <c r="AB71" s="9" t="s">
        <v>47</v>
      </c>
      <c r="AC71" s="9" t="s">
        <v>51</v>
      </c>
      <c r="AD71" s="9">
        <v>49542</v>
      </c>
      <c r="AE71" s="19" t="s">
        <v>289</v>
      </c>
      <c r="AF71" s="19" t="s">
        <v>292</v>
      </c>
      <c r="AG71" s="21"/>
    </row>
    <row r="72" spans="1:33" ht="12.5" x14ac:dyDescent="0.25">
      <c r="A72" s="34">
        <v>6</v>
      </c>
      <c r="B72" s="35" t="s">
        <v>52</v>
      </c>
      <c r="C72" s="35" t="s">
        <v>293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19">
        <v>2</v>
      </c>
      <c r="V72" s="6"/>
      <c r="W72" s="19">
        <v>1</v>
      </c>
      <c r="X72" s="6"/>
      <c r="Y72" s="6"/>
      <c r="Z72" s="12" t="s">
        <v>294</v>
      </c>
      <c r="AA72" s="13" t="s">
        <v>295</v>
      </c>
      <c r="AB72" s="12" t="s">
        <v>39</v>
      </c>
      <c r="AC72" s="12" t="s">
        <v>51</v>
      </c>
      <c r="AD72" s="19">
        <v>78714</v>
      </c>
      <c r="AE72" s="19" t="s">
        <v>293</v>
      </c>
      <c r="AF72" s="19" t="s">
        <v>296</v>
      </c>
      <c r="AG72" s="6"/>
    </row>
    <row r="73" spans="1:33" ht="12.5" x14ac:dyDescent="0.25">
      <c r="A73" s="38"/>
      <c r="B73" s="39"/>
      <c r="C73" s="39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39"/>
      <c r="V73" s="6"/>
      <c r="W73" s="39"/>
      <c r="X73" s="6"/>
      <c r="Y73" s="6"/>
      <c r="Z73" s="39"/>
      <c r="AA73" s="39"/>
      <c r="AB73" s="39"/>
      <c r="AC73" s="39"/>
      <c r="AD73" s="39"/>
      <c r="AE73" s="39"/>
      <c r="AF73" s="39"/>
      <c r="AG73" s="6"/>
    </row>
    <row r="74" spans="1:33" ht="55.5" customHeight="1" x14ac:dyDescent="0.5">
      <c r="A74" s="40" t="s">
        <v>316</v>
      </c>
      <c r="B74" s="41"/>
      <c r="C74" s="41"/>
      <c r="D74" s="42">
        <f t="shared" ref="D74:Y74" si="0">SUM(D2:D72)</f>
        <v>63</v>
      </c>
      <c r="E74" s="42">
        <f t="shared" si="0"/>
        <v>36</v>
      </c>
      <c r="F74" s="42">
        <f t="shared" si="0"/>
        <v>0</v>
      </c>
      <c r="G74" s="42">
        <f t="shared" si="0"/>
        <v>27</v>
      </c>
      <c r="H74" s="42">
        <f t="shared" si="0"/>
        <v>27</v>
      </c>
      <c r="I74" s="42">
        <f t="shared" si="0"/>
        <v>18</v>
      </c>
      <c r="J74" s="42">
        <f t="shared" si="0"/>
        <v>29</v>
      </c>
      <c r="K74" s="42">
        <f t="shared" si="0"/>
        <v>35</v>
      </c>
      <c r="L74" s="42">
        <f t="shared" si="0"/>
        <v>37</v>
      </c>
      <c r="M74" s="42">
        <f t="shared" si="0"/>
        <v>66</v>
      </c>
      <c r="N74" s="42">
        <f t="shared" si="0"/>
        <v>32</v>
      </c>
      <c r="O74" s="42">
        <f t="shared" si="0"/>
        <v>43</v>
      </c>
      <c r="P74" s="42">
        <f t="shared" si="0"/>
        <v>52</v>
      </c>
      <c r="Q74" s="42">
        <f t="shared" si="0"/>
        <v>8</v>
      </c>
      <c r="R74" s="42">
        <f t="shared" si="0"/>
        <v>10</v>
      </c>
      <c r="S74" s="42">
        <f t="shared" si="0"/>
        <v>3</v>
      </c>
      <c r="T74" s="42">
        <f t="shared" si="0"/>
        <v>12</v>
      </c>
      <c r="U74" s="42">
        <f t="shared" si="0"/>
        <v>11</v>
      </c>
      <c r="V74" s="42">
        <f t="shared" si="0"/>
        <v>2</v>
      </c>
      <c r="W74" s="42">
        <f t="shared" si="0"/>
        <v>7</v>
      </c>
      <c r="X74" s="42">
        <f t="shared" si="0"/>
        <v>10</v>
      </c>
      <c r="Y74" s="42">
        <f t="shared" si="0"/>
        <v>10</v>
      </c>
      <c r="Z74" s="43"/>
      <c r="AA74" s="43"/>
      <c r="AB74" s="43"/>
      <c r="AC74" s="43"/>
      <c r="AD74" s="43"/>
      <c r="AE74" s="43"/>
      <c r="AF74" s="43"/>
      <c r="AG74" s="43"/>
    </row>
    <row r="75" spans="1:33" ht="25" x14ac:dyDescent="0.5">
      <c r="A75" s="44"/>
      <c r="B75" s="45"/>
      <c r="C75" s="45"/>
      <c r="D75" s="46"/>
      <c r="E75" s="28" t="s">
        <v>317</v>
      </c>
      <c r="F75" s="46"/>
      <c r="G75" s="46"/>
      <c r="H75" s="46"/>
      <c r="I75" s="46"/>
      <c r="J75" s="28" t="s">
        <v>318</v>
      </c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7"/>
      <c r="AA75" s="47"/>
      <c r="AB75" s="47"/>
      <c r="AC75" s="47"/>
      <c r="AD75" s="47"/>
      <c r="AE75" s="47"/>
      <c r="AF75" s="47"/>
      <c r="AG75" s="47"/>
    </row>
    <row r="76" spans="1:33" ht="25" x14ac:dyDescent="0.5">
      <c r="A76" s="44"/>
      <c r="B76" s="45"/>
      <c r="C76" s="45"/>
      <c r="D76" s="46"/>
      <c r="E76" s="23">
        <f>E74</f>
        <v>36</v>
      </c>
      <c r="F76" s="46"/>
      <c r="G76" s="46"/>
      <c r="H76" s="46"/>
      <c r="I76" s="46"/>
      <c r="J76" s="48">
        <f>J74*3</f>
        <v>87</v>
      </c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7"/>
      <c r="AA76" s="47"/>
      <c r="AB76" s="47"/>
      <c r="AC76" s="47"/>
      <c r="AD76" s="47"/>
      <c r="AE76" s="47"/>
      <c r="AF76" s="47"/>
      <c r="AG76" s="47"/>
    </row>
    <row r="78" spans="1:33" ht="12.5" x14ac:dyDescent="0.25">
      <c r="A78" s="49" t="s">
        <v>319</v>
      </c>
      <c r="B78" s="49" t="s">
        <v>320</v>
      </c>
      <c r="C78" s="49" t="s">
        <v>321</v>
      </c>
      <c r="D78" s="49" t="s">
        <v>320</v>
      </c>
    </row>
    <row r="79" spans="1:33" ht="12.5" x14ac:dyDescent="0.25">
      <c r="A79" s="28" t="s">
        <v>322</v>
      </c>
      <c r="B79" s="50">
        <f>D74+G74+U74</f>
        <v>101</v>
      </c>
      <c r="C79" s="28" t="s">
        <v>314</v>
      </c>
      <c r="D79" s="50">
        <f>O74</f>
        <v>43</v>
      </c>
    </row>
    <row r="80" spans="1:33" ht="12.5" x14ac:dyDescent="0.25">
      <c r="A80" s="28" t="s">
        <v>323</v>
      </c>
      <c r="B80" s="50">
        <f>D74+H74+V74</f>
        <v>92</v>
      </c>
      <c r="C80" s="28" t="s">
        <v>315</v>
      </c>
      <c r="D80" s="50">
        <f>P74</f>
        <v>52</v>
      </c>
    </row>
    <row r="81" spans="1:4" ht="12.5" x14ac:dyDescent="0.25">
      <c r="A81" s="28" t="s">
        <v>324</v>
      </c>
      <c r="B81" s="50">
        <f>D74+I74+W74</f>
        <v>88</v>
      </c>
      <c r="C81" s="28" t="s">
        <v>325</v>
      </c>
      <c r="D81" s="28">
        <v>81</v>
      </c>
    </row>
    <row r="82" spans="1:4" ht="12.5" x14ac:dyDescent="0.25">
      <c r="A82" s="28" t="s">
        <v>326</v>
      </c>
      <c r="B82" s="50">
        <f>E76+J76+S74</f>
        <v>126</v>
      </c>
    </row>
    <row r="83" spans="1:4" ht="12.5" x14ac:dyDescent="0.25">
      <c r="A83" s="28" t="s">
        <v>327</v>
      </c>
      <c r="B83" s="50">
        <f>K74</f>
        <v>35</v>
      </c>
    </row>
    <row r="84" spans="1:4" ht="12.5" x14ac:dyDescent="0.25">
      <c r="A84" s="28" t="s">
        <v>328</v>
      </c>
      <c r="B84" s="50">
        <f>L74</f>
        <v>37</v>
      </c>
    </row>
    <row r="85" spans="1:4" ht="12.5" x14ac:dyDescent="0.25">
      <c r="A85" s="28" t="s">
        <v>329</v>
      </c>
      <c r="B85" s="50">
        <f>M74</f>
        <v>66</v>
      </c>
    </row>
    <row r="86" spans="1:4" ht="12.5" x14ac:dyDescent="0.25">
      <c r="A86" s="28" t="s">
        <v>330</v>
      </c>
      <c r="B86" s="50">
        <f>N74</f>
        <v>32</v>
      </c>
    </row>
    <row r="87" spans="1:4" ht="12.5" x14ac:dyDescent="0.25">
      <c r="A87" s="28" t="s">
        <v>331</v>
      </c>
      <c r="B87" s="50">
        <f>Q74</f>
        <v>8</v>
      </c>
    </row>
    <row r="88" spans="1:4" ht="12.5" x14ac:dyDescent="0.25">
      <c r="A88" s="28" t="s">
        <v>332</v>
      </c>
      <c r="B88" s="50">
        <f>R74</f>
        <v>10</v>
      </c>
    </row>
    <row r="89" spans="1:4" ht="12.5" x14ac:dyDescent="0.25">
      <c r="A89" s="28" t="s">
        <v>333</v>
      </c>
      <c r="B89" s="50">
        <f>T74</f>
        <v>12</v>
      </c>
    </row>
    <row r="90" spans="1:4" ht="12.5" x14ac:dyDescent="0.25">
      <c r="A90" s="28" t="s">
        <v>334</v>
      </c>
      <c r="B90" s="50">
        <f>X74</f>
        <v>10</v>
      </c>
    </row>
    <row r="91" spans="1:4" ht="12.5" x14ac:dyDescent="0.25">
      <c r="A91" s="28" t="s">
        <v>335</v>
      </c>
      <c r="B91" s="50">
        <f>Y74</f>
        <v>10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G24"/>
  <sheetViews>
    <sheetView tabSelected="1" topLeftCell="U1" workbookViewId="0">
      <pane ySplit="1" topLeftCell="A2" activePane="bottomLeft" state="frozen"/>
      <selection pane="bottomLeft" activeCell="AG14" sqref="AG14"/>
    </sheetView>
  </sheetViews>
  <sheetFormatPr defaultColWidth="12.6328125" defaultRowHeight="15" customHeight="1" x14ac:dyDescent="0.25"/>
  <cols>
    <col min="1" max="1" width="1.90625" customWidth="1"/>
    <col min="5" max="5" width="54.90625" customWidth="1"/>
    <col min="6" max="6" width="16.08984375" customWidth="1"/>
  </cols>
  <sheetData>
    <row r="1" spans="1:33" ht="15" customHeight="1" x14ac:dyDescent="0.25">
      <c r="A1" s="51">
        <v>0</v>
      </c>
      <c r="B1" s="52" t="s">
        <v>25</v>
      </c>
      <c r="C1" s="52" t="s">
        <v>19</v>
      </c>
      <c r="D1" s="52" t="s">
        <v>2</v>
      </c>
      <c r="E1" s="52" t="s">
        <v>3</v>
      </c>
      <c r="F1" s="53" t="s">
        <v>31</v>
      </c>
      <c r="G1" s="51" t="s">
        <v>311</v>
      </c>
      <c r="H1" s="51" t="s">
        <v>312</v>
      </c>
      <c r="I1" s="51" t="s">
        <v>313</v>
      </c>
      <c r="J1" s="52" t="s">
        <v>4</v>
      </c>
      <c r="K1" s="52" t="s">
        <v>6</v>
      </c>
      <c r="L1" s="52" t="s">
        <v>7</v>
      </c>
      <c r="M1" s="52" t="s">
        <v>8</v>
      </c>
      <c r="N1" s="53" t="s">
        <v>28</v>
      </c>
      <c r="O1" s="51" t="s">
        <v>314</v>
      </c>
      <c r="P1" s="51" t="s">
        <v>315</v>
      </c>
      <c r="Q1" s="52" t="s">
        <v>11</v>
      </c>
      <c r="R1" s="52" t="s">
        <v>12</v>
      </c>
      <c r="S1" s="52" t="s">
        <v>13</v>
      </c>
      <c r="T1" s="52" t="s">
        <v>14</v>
      </c>
      <c r="U1" s="52" t="s">
        <v>15</v>
      </c>
      <c r="V1" s="52" t="s">
        <v>16</v>
      </c>
      <c r="W1" s="52" t="s">
        <v>17</v>
      </c>
      <c r="X1" s="52" t="s">
        <v>18</v>
      </c>
      <c r="Y1" s="53" t="s">
        <v>29</v>
      </c>
      <c r="Z1" s="53" t="s">
        <v>20</v>
      </c>
      <c r="AA1" s="53" t="s">
        <v>21</v>
      </c>
      <c r="AB1" s="53" t="s">
        <v>22</v>
      </c>
      <c r="AC1" s="53" t="s">
        <v>23</v>
      </c>
      <c r="AD1" s="53" t="s">
        <v>24</v>
      </c>
      <c r="AE1" s="53" t="s">
        <v>26</v>
      </c>
      <c r="AF1" s="53" t="s">
        <v>27</v>
      </c>
      <c r="AG1" s="53" t="s">
        <v>30</v>
      </c>
    </row>
    <row r="2" spans="1:33" ht="15" customHeight="1" x14ac:dyDescent="0.25">
      <c r="A2" s="17">
        <v>1</v>
      </c>
      <c r="B2" s="18" t="s">
        <v>66</v>
      </c>
      <c r="C2" s="18" t="s">
        <v>62</v>
      </c>
      <c r="D2" s="54">
        <v>2</v>
      </c>
      <c r="E2" s="55"/>
      <c r="F2" s="55"/>
      <c r="G2" s="55"/>
      <c r="H2" s="55"/>
      <c r="I2" s="55"/>
      <c r="J2" s="55"/>
      <c r="K2" s="54">
        <v>1</v>
      </c>
      <c r="L2" s="54">
        <v>1</v>
      </c>
      <c r="M2" s="54">
        <v>1</v>
      </c>
      <c r="N2" s="54">
        <v>1</v>
      </c>
      <c r="O2" s="55"/>
      <c r="P2" s="55"/>
      <c r="Q2" s="54">
        <v>1</v>
      </c>
      <c r="R2" s="55"/>
      <c r="S2" s="55"/>
      <c r="T2" s="55"/>
      <c r="U2" s="54">
        <v>1</v>
      </c>
      <c r="V2" s="55"/>
      <c r="W2" s="55"/>
      <c r="X2" s="55"/>
      <c r="Y2" s="55"/>
      <c r="Z2" s="56" t="s">
        <v>63</v>
      </c>
      <c r="AA2" s="57" t="s">
        <v>64</v>
      </c>
      <c r="AB2" s="56" t="s">
        <v>65</v>
      </c>
      <c r="AC2" s="56" t="s">
        <v>40</v>
      </c>
      <c r="AD2" s="55"/>
      <c r="AE2" s="55"/>
      <c r="AF2" s="55"/>
      <c r="AG2" s="55"/>
    </row>
    <row r="3" spans="1:33" ht="15" customHeight="1" x14ac:dyDescent="0.25">
      <c r="A3" s="17">
        <v>1</v>
      </c>
      <c r="B3" s="18" t="s">
        <v>66</v>
      </c>
      <c r="C3" s="18" t="s">
        <v>72</v>
      </c>
      <c r="D3" s="55"/>
      <c r="E3" s="55"/>
      <c r="F3" s="54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4">
        <v>3</v>
      </c>
      <c r="Y3" s="54">
        <v>2</v>
      </c>
      <c r="Z3" s="58" t="s">
        <v>73</v>
      </c>
      <c r="AA3" s="59" t="s">
        <v>74</v>
      </c>
      <c r="AB3" s="58" t="s">
        <v>47</v>
      </c>
      <c r="AC3" s="58" t="s">
        <v>40</v>
      </c>
      <c r="AD3" s="55"/>
      <c r="AE3" s="55"/>
      <c r="AF3" s="55"/>
      <c r="AG3" s="54"/>
    </row>
    <row r="4" spans="1:33" ht="15" customHeight="1" x14ac:dyDescent="0.25">
      <c r="A4" s="17">
        <v>1</v>
      </c>
      <c r="B4" s="18" t="s">
        <v>66</v>
      </c>
      <c r="C4" s="18" t="s">
        <v>82</v>
      </c>
      <c r="D4" s="54">
        <v>1</v>
      </c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6" t="s">
        <v>83</v>
      </c>
      <c r="AA4" s="57" t="s">
        <v>84</v>
      </c>
      <c r="AB4" s="56" t="s">
        <v>47</v>
      </c>
      <c r="AC4" s="56" t="s">
        <v>40</v>
      </c>
      <c r="AD4" s="60"/>
      <c r="AE4" s="60"/>
      <c r="AF4" s="60"/>
      <c r="AG4" s="55"/>
    </row>
    <row r="5" spans="1:33" ht="15" customHeight="1" x14ac:dyDescent="0.25">
      <c r="A5" s="17">
        <v>1</v>
      </c>
      <c r="B5" s="18" t="s">
        <v>66</v>
      </c>
      <c r="C5" s="18" t="s">
        <v>113</v>
      </c>
      <c r="D5" s="55"/>
      <c r="E5" s="55"/>
      <c r="F5" s="54"/>
      <c r="G5" s="55"/>
      <c r="H5" s="55"/>
      <c r="I5" s="55"/>
      <c r="J5" s="55"/>
      <c r="K5" s="55"/>
      <c r="L5" s="55"/>
      <c r="M5" s="55"/>
      <c r="N5" s="55"/>
      <c r="O5" s="54">
        <v>1</v>
      </c>
      <c r="P5" s="54">
        <v>1</v>
      </c>
      <c r="Q5" s="55"/>
      <c r="R5" s="55"/>
      <c r="S5" s="55"/>
      <c r="T5" s="55"/>
      <c r="U5" s="55"/>
      <c r="V5" s="55"/>
      <c r="W5" s="55"/>
      <c r="X5" s="54">
        <v>1</v>
      </c>
      <c r="Y5" s="54">
        <v>1</v>
      </c>
      <c r="Z5" s="58" t="s">
        <v>114</v>
      </c>
      <c r="AA5" s="59" t="s">
        <v>115</v>
      </c>
      <c r="AB5" s="58" t="s">
        <v>65</v>
      </c>
      <c r="AC5" s="58" t="s">
        <v>40</v>
      </c>
      <c r="AD5" s="61"/>
      <c r="AE5" s="61"/>
      <c r="AF5" s="61"/>
      <c r="AG5" s="54"/>
    </row>
    <row r="6" spans="1:33" ht="15" customHeight="1" x14ac:dyDescent="0.25">
      <c r="A6" s="17">
        <v>1</v>
      </c>
      <c r="B6" s="18" t="s">
        <v>66</v>
      </c>
      <c r="C6" s="18" t="s">
        <v>122</v>
      </c>
      <c r="D6" s="54">
        <v>1</v>
      </c>
      <c r="E6" s="55"/>
      <c r="F6" s="55"/>
      <c r="G6" s="55"/>
      <c r="H6" s="55"/>
      <c r="I6" s="55"/>
      <c r="J6" s="55"/>
      <c r="K6" s="55"/>
      <c r="L6" s="55"/>
      <c r="M6" s="55"/>
      <c r="N6" s="55"/>
      <c r="O6" s="54">
        <v>1</v>
      </c>
      <c r="P6" s="55"/>
      <c r="Q6" s="55"/>
      <c r="R6" s="55"/>
      <c r="S6" s="55"/>
      <c r="T6" s="55"/>
      <c r="U6" s="55"/>
      <c r="V6" s="55"/>
      <c r="W6" s="55"/>
      <c r="X6" s="54">
        <v>1</v>
      </c>
      <c r="Y6" s="54"/>
      <c r="Z6" s="56" t="s">
        <v>123</v>
      </c>
      <c r="AA6" s="57" t="s">
        <v>124</v>
      </c>
      <c r="AB6" s="56" t="s">
        <v>65</v>
      </c>
      <c r="AC6" s="56" t="s">
        <v>40</v>
      </c>
      <c r="AD6" s="55"/>
      <c r="AE6" s="55"/>
      <c r="AF6" s="55"/>
      <c r="AG6" s="55"/>
    </row>
    <row r="7" spans="1:33" ht="15" customHeight="1" x14ac:dyDescent="0.25">
      <c r="A7" s="17">
        <v>1</v>
      </c>
      <c r="B7" s="18" t="s">
        <v>66</v>
      </c>
      <c r="C7" s="18" t="s">
        <v>167</v>
      </c>
      <c r="D7" s="55"/>
      <c r="E7" s="54" t="s">
        <v>166</v>
      </c>
      <c r="F7" s="54"/>
      <c r="G7" s="62">
        <v>1</v>
      </c>
      <c r="H7" s="55"/>
      <c r="I7" s="62">
        <v>1</v>
      </c>
      <c r="J7" s="55"/>
      <c r="K7" s="55"/>
      <c r="L7" s="55"/>
      <c r="M7" s="54">
        <v>2</v>
      </c>
      <c r="N7" s="61"/>
      <c r="O7" s="54">
        <v>3</v>
      </c>
      <c r="P7" s="54">
        <v>3</v>
      </c>
      <c r="Q7" s="55"/>
      <c r="R7" s="55"/>
      <c r="S7" s="55"/>
      <c r="T7" s="55"/>
      <c r="U7" s="54">
        <v>1</v>
      </c>
      <c r="V7" s="55"/>
      <c r="W7" s="55"/>
      <c r="X7" s="55"/>
      <c r="Y7" s="55"/>
      <c r="Z7" s="58" t="s">
        <v>168</v>
      </c>
      <c r="AA7" s="59" t="s">
        <v>169</v>
      </c>
      <c r="AB7" s="58" t="s">
        <v>65</v>
      </c>
      <c r="AC7" s="58" t="s">
        <v>40</v>
      </c>
      <c r="AD7" s="55"/>
      <c r="AE7" s="55"/>
      <c r="AF7" s="55"/>
      <c r="AG7" s="66" t="s">
        <v>345</v>
      </c>
    </row>
    <row r="8" spans="1:33" ht="15" customHeight="1" x14ac:dyDescent="0.25">
      <c r="A8" s="17">
        <v>1</v>
      </c>
      <c r="B8" s="18" t="s">
        <v>66</v>
      </c>
      <c r="C8" s="18" t="s">
        <v>187</v>
      </c>
      <c r="D8" s="54">
        <v>1</v>
      </c>
      <c r="E8" s="55"/>
      <c r="F8" s="60"/>
      <c r="G8" s="55"/>
      <c r="H8" s="55"/>
      <c r="I8" s="55"/>
      <c r="J8" s="55"/>
      <c r="K8" s="55"/>
      <c r="L8" s="55"/>
      <c r="M8" s="55"/>
      <c r="N8" s="56">
        <v>3</v>
      </c>
      <c r="O8" s="54">
        <v>1</v>
      </c>
      <c r="P8" s="54">
        <v>1</v>
      </c>
      <c r="Q8" s="55"/>
      <c r="R8" s="55"/>
      <c r="S8" s="54">
        <v>1</v>
      </c>
      <c r="T8" s="55"/>
      <c r="U8" s="55"/>
      <c r="V8" s="55"/>
      <c r="W8" s="55"/>
      <c r="X8" s="55"/>
      <c r="Y8" s="60"/>
      <c r="Z8" s="56" t="s">
        <v>188</v>
      </c>
      <c r="AA8" s="57" t="s">
        <v>189</v>
      </c>
      <c r="AB8" s="56" t="s">
        <v>65</v>
      </c>
      <c r="AC8" s="56" t="s">
        <v>40</v>
      </c>
      <c r="AD8" s="60"/>
      <c r="AE8" s="55"/>
      <c r="AF8" s="55"/>
      <c r="AG8" s="60"/>
    </row>
    <row r="9" spans="1:33" ht="15" customHeight="1" x14ac:dyDescent="0.25">
      <c r="A9" s="17">
        <v>1</v>
      </c>
      <c r="B9" s="18" t="s">
        <v>66</v>
      </c>
      <c r="C9" s="18" t="s">
        <v>194</v>
      </c>
      <c r="D9" s="55"/>
      <c r="E9" s="55"/>
      <c r="F9" s="61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4">
        <v>1</v>
      </c>
      <c r="V9" s="55"/>
      <c r="W9" s="55"/>
      <c r="X9" s="55"/>
      <c r="Y9" s="61"/>
      <c r="Z9" s="58" t="s">
        <v>195</v>
      </c>
      <c r="AA9" s="59" t="s">
        <v>196</v>
      </c>
      <c r="AB9" s="58" t="s">
        <v>65</v>
      </c>
      <c r="AC9" s="58" t="s">
        <v>40</v>
      </c>
      <c r="AD9" s="55"/>
      <c r="AE9" s="55"/>
      <c r="AF9" s="55"/>
      <c r="AG9" s="61"/>
    </row>
    <row r="10" spans="1:33" ht="15" customHeight="1" x14ac:dyDescent="0.25">
      <c r="A10" s="17">
        <v>1</v>
      </c>
      <c r="B10" s="18" t="s">
        <v>66</v>
      </c>
      <c r="C10" s="18" t="s">
        <v>259</v>
      </c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4">
        <v>1</v>
      </c>
      <c r="P10" s="55"/>
      <c r="Q10" s="55"/>
      <c r="R10" s="54">
        <v>1</v>
      </c>
      <c r="S10" s="55"/>
      <c r="T10" s="55"/>
      <c r="U10" s="54">
        <v>1</v>
      </c>
      <c r="V10" s="55"/>
      <c r="W10" s="55"/>
      <c r="X10" s="55"/>
      <c r="Y10" s="55"/>
      <c r="Z10" s="56" t="s">
        <v>260</v>
      </c>
      <c r="AA10" s="57" t="s">
        <v>261</v>
      </c>
      <c r="AB10" s="56" t="s">
        <v>65</v>
      </c>
      <c r="AC10" s="56" t="s">
        <v>40</v>
      </c>
      <c r="AD10" s="60"/>
      <c r="AE10" s="60"/>
      <c r="AF10" s="60"/>
      <c r="AG10" s="55"/>
    </row>
    <row r="11" spans="1:33" ht="15" customHeight="1" x14ac:dyDescent="0.25">
      <c r="A11" s="17">
        <v>1</v>
      </c>
      <c r="B11" s="18" t="s">
        <v>66</v>
      </c>
      <c r="C11" s="18" t="s">
        <v>266</v>
      </c>
      <c r="D11" s="55"/>
      <c r="E11" s="55"/>
      <c r="F11" s="55"/>
      <c r="G11" s="54"/>
      <c r="H11" s="54"/>
      <c r="I11" s="54"/>
      <c r="J11" s="54">
        <v>1</v>
      </c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8" t="s">
        <v>267</v>
      </c>
      <c r="AA11" s="59" t="s">
        <v>268</v>
      </c>
      <c r="AB11" s="58" t="s">
        <v>47</v>
      </c>
      <c r="AC11" s="58" t="s">
        <v>40</v>
      </c>
      <c r="AD11" s="61"/>
      <c r="AE11" s="55"/>
      <c r="AF11" s="55"/>
      <c r="AG11" s="55"/>
    </row>
    <row r="12" spans="1:33" ht="15" customHeight="1" x14ac:dyDescent="0.25">
      <c r="A12" s="17">
        <v>1</v>
      </c>
      <c r="B12" s="18" t="s">
        <v>66</v>
      </c>
      <c r="C12" s="18" t="s">
        <v>275</v>
      </c>
      <c r="D12" s="55"/>
      <c r="E12" s="55"/>
      <c r="F12" s="55"/>
      <c r="G12" s="55"/>
      <c r="H12" s="55"/>
      <c r="I12" s="55"/>
      <c r="J12" s="55"/>
      <c r="K12" s="55"/>
      <c r="L12" s="55"/>
      <c r="M12" s="54">
        <v>12</v>
      </c>
      <c r="N12" s="55"/>
      <c r="O12" s="54">
        <v>8</v>
      </c>
      <c r="P12" s="54">
        <v>4</v>
      </c>
      <c r="Q12" s="55"/>
      <c r="R12" s="55"/>
      <c r="S12" s="55"/>
      <c r="T12" s="55"/>
      <c r="U12" s="55"/>
      <c r="V12" s="55"/>
      <c r="W12" s="55"/>
      <c r="X12" s="55"/>
      <c r="Y12" s="55"/>
      <c r="Z12" s="56" t="s">
        <v>276</v>
      </c>
      <c r="AA12" s="57" t="s">
        <v>277</v>
      </c>
      <c r="AB12" s="56" t="s">
        <v>65</v>
      </c>
      <c r="AC12" s="56" t="s">
        <v>40</v>
      </c>
      <c r="AD12" s="55"/>
      <c r="AE12" s="55"/>
      <c r="AF12" s="55"/>
      <c r="AG12" s="67" t="s">
        <v>346</v>
      </c>
    </row>
    <row r="13" spans="1:33" ht="15" customHeight="1" x14ac:dyDescent="0.25">
      <c r="A13" s="17">
        <v>1</v>
      </c>
      <c r="B13" s="18" t="s">
        <v>66</v>
      </c>
      <c r="C13" s="18" t="s">
        <v>308</v>
      </c>
      <c r="D13" s="55"/>
      <c r="E13" s="55"/>
      <c r="F13" s="55"/>
      <c r="G13" s="54"/>
      <c r="H13" s="54"/>
      <c r="I13" s="54"/>
      <c r="J13" s="54">
        <v>1</v>
      </c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8" t="s">
        <v>309</v>
      </c>
      <c r="AA13" s="59" t="s">
        <v>310</v>
      </c>
      <c r="AB13" s="58" t="s">
        <v>47</v>
      </c>
      <c r="AC13" s="58" t="s">
        <v>40</v>
      </c>
      <c r="AD13" s="55"/>
      <c r="AE13" s="55"/>
      <c r="AF13" s="55"/>
      <c r="AG13" s="55"/>
    </row>
    <row r="14" spans="1:33" ht="15" customHeight="1" x14ac:dyDescent="0.25">
      <c r="A14" s="24">
        <v>2</v>
      </c>
      <c r="B14" s="25" t="s">
        <v>61</v>
      </c>
      <c r="C14" s="25" t="s">
        <v>58</v>
      </c>
      <c r="D14" s="55"/>
      <c r="E14" s="55"/>
      <c r="F14" s="55"/>
      <c r="G14" s="54"/>
      <c r="H14" s="54"/>
      <c r="I14" s="54"/>
      <c r="J14" s="54">
        <v>1</v>
      </c>
      <c r="K14" s="55"/>
      <c r="L14" s="55"/>
      <c r="M14" s="55"/>
      <c r="N14" s="60"/>
      <c r="O14" s="54">
        <v>1</v>
      </c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6" t="s">
        <v>59</v>
      </c>
      <c r="AA14" s="57" t="s">
        <v>60</v>
      </c>
      <c r="AB14" s="56" t="s">
        <v>47</v>
      </c>
      <c r="AC14" s="56" t="s">
        <v>40</v>
      </c>
      <c r="AD14" s="55"/>
      <c r="AE14" s="55"/>
      <c r="AF14" s="55"/>
      <c r="AG14" s="55"/>
    </row>
    <row r="15" spans="1:33" ht="15" customHeight="1" x14ac:dyDescent="0.25">
      <c r="A15" s="24">
        <v>2</v>
      </c>
      <c r="B15" s="25" t="s">
        <v>61</v>
      </c>
      <c r="C15" s="25" t="s">
        <v>67</v>
      </c>
      <c r="D15" s="54">
        <v>1</v>
      </c>
      <c r="E15" s="55"/>
      <c r="F15" s="54"/>
      <c r="G15" s="55"/>
      <c r="H15" s="55"/>
      <c r="I15" s="55"/>
      <c r="J15" s="55"/>
      <c r="K15" s="55"/>
      <c r="L15" s="55"/>
      <c r="M15" s="54">
        <v>3</v>
      </c>
      <c r="N15" s="54">
        <v>3</v>
      </c>
      <c r="O15" s="54">
        <v>1</v>
      </c>
      <c r="P15" s="54">
        <v>1</v>
      </c>
      <c r="Q15" s="55"/>
      <c r="R15" s="55"/>
      <c r="S15" s="55"/>
      <c r="T15" s="55"/>
      <c r="U15" s="54">
        <v>1</v>
      </c>
      <c r="V15" s="55"/>
      <c r="W15" s="55"/>
      <c r="X15" s="54">
        <v>1</v>
      </c>
      <c r="Y15" s="54">
        <v>2</v>
      </c>
      <c r="Z15" s="58" t="s">
        <v>68</v>
      </c>
      <c r="AA15" s="59" t="s">
        <v>69</v>
      </c>
      <c r="AB15" s="58" t="s">
        <v>65</v>
      </c>
      <c r="AC15" s="58" t="s">
        <v>51</v>
      </c>
      <c r="AD15" s="58" t="s">
        <v>70</v>
      </c>
      <c r="AE15" s="61"/>
      <c r="AF15" s="61"/>
      <c r="AG15" s="54"/>
    </row>
    <row r="16" spans="1:33" ht="15" customHeight="1" x14ac:dyDescent="0.25">
      <c r="A16" s="24">
        <v>2</v>
      </c>
      <c r="B16" s="25" t="s">
        <v>61</v>
      </c>
      <c r="C16" s="25" t="s">
        <v>85</v>
      </c>
      <c r="D16" s="54">
        <v>1</v>
      </c>
      <c r="E16" s="55"/>
      <c r="F16" s="55"/>
      <c r="G16" s="55"/>
      <c r="H16" s="55"/>
      <c r="I16" s="55"/>
      <c r="J16" s="55"/>
      <c r="K16" s="55"/>
      <c r="L16" s="54">
        <v>1</v>
      </c>
      <c r="M16" s="54">
        <v>1</v>
      </c>
      <c r="N16" s="55"/>
      <c r="O16" s="54">
        <v>1</v>
      </c>
      <c r="P16" s="54">
        <v>1</v>
      </c>
      <c r="Q16" s="55"/>
      <c r="R16" s="55"/>
      <c r="S16" s="55"/>
      <c r="T16" s="55"/>
      <c r="U16" s="55"/>
      <c r="V16" s="55"/>
      <c r="W16" s="54">
        <v>1</v>
      </c>
      <c r="X16" s="55"/>
      <c r="Y16" s="55"/>
      <c r="Z16" s="56" t="s">
        <v>86</v>
      </c>
      <c r="AA16" s="57" t="s">
        <v>87</v>
      </c>
      <c r="AB16" s="56" t="s">
        <v>65</v>
      </c>
      <c r="AC16" s="56" t="s">
        <v>40</v>
      </c>
      <c r="AD16" s="55"/>
      <c r="AE16" s="55"/>
      <c r="AF16" s="55"/>
      <c r="AG16" s="55"/>
    </row>
    <row r="17" spans="1:33" ht="15" customHeight="1" x14ac:dyDescent="0.25">
      <c r="A17" s="24">
        <v>2</v>
      </c>
      <c r="B17" s="25" t="s">
        <v>61</v>
      </c>
      <c r="C17" s="25" t="s">
        <v>99</v>
      </c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4">
        <v>1</v>
      </c>
      <c r="P17" s="55"/>
      <c r="Q17" s="55"/>
      <c r="R17" s="55"/>
      <c r="S17" s="55"/>
      <c r="T17" s="55"/>
      <c r="U17" s="55"/>
      <c r="V17" s="55"/>
      <c r="W17" s="54">
        <v>1</v>
      </c>
      <c r="X17" s="54">
        <v>1</v>
      </c>
      <c r="Y17" s="55"/>
      <c r="Z17" s="58" t="s">
        <v>100</v>
      </c>
      <c r="AA17" s="59" t="s">
        <v>101</v>
      </c>
      <c r="AB17" s="58" t="s">
        <v>47</v>
      </c>
      <c r="AC17" s="58" t="s">
        <v>40</v>
      </c>
      <c r="AD17" s="61"/>
      <c r="AE17" s="55"/>
      <c r="AF17" s="55"/>
      <c r="AG17" s="55"/>
    </row>
    <row r="18" spans="1:33" ht="15" customHeight="1" x14ac:dyDescent="0.25">
      <c r="A18" s="24">
        <v>2</v>
      </c>
      <c r="B18" s="25" t="s">
        <v>61</v>
      </c>
      <c r="C18" s="25" t="s">
        <v>110</v>
      </c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4">
        <v>1</v>
      </c>
      <c r="P18" s="54">
        <v>1</v>
      </c>
      <c r="Q18" s="55"/>
      <c r="R18" s="55"/>
      <c r="S18" s="55"/>
      <c r="T18" s="55"/>
      <c r="U18" s="55"/>
      <c r="V18" s="55"/>
      <c r="W18" s="54">
        <v>1</v>
      </c>
      <c r="X18" s="55"/>
      <c r="Y18" s="55"/>
      <c r="Z18" s="56" t="s">
        <v>111</v>
      </c>
      <c r="AA18" s="57" t="s">
        <v>112</v>
      </c>
      <c r="AB18" s="56" t="s">
        <v>39</v>
      </c>
      <c r="AC18" s="56" t="s">
        <v>40</v>
      </c>
      <c r="AD18" s="60"/>
      <c r="AE18" s="60"/>
      <c r="AF18" s="60"/>
      <c r="AG18" s="55"/>
    </row>
    <row r="19" spans="1:33" ht="15" customHeight="1" x14ac:dyDescent="0.25">
      <c r="A19" s="24">
        <v>2</v>
      </c>
      <c r="B19" s="25" t="s">
        <v>61</v>
      </c>
      <c r="C19" s="25" t="s">
        <v>177</v>
      </c>
      <c r="D19" s="55"/>
      <c r="E19" s="55"/>
      <c r="F19" s="55"/>
      <c r="G19" s="55"/>
      <c r="H19" s="55"/>
      <c r="I19" s="55"/>
      <c r="J19" s="55"/>
      <c r="K19" s="54">
        <v>1</v>
      </c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8" t="s">
        <v>178</v>
      </c>
      <c r="AA19" s="59" t="s">
        <v>179</v>
      </c>
      <c r="AB19" s="58" t="s">
        <v>39</v>
      </c>
      <c r="AC19" s="58" t="s">
        <v>40</v>
      </c>
      <c r="AD19" s="55"/>
      <c r="AE19" s="55"/>
      <c r="AF19" s="55"/>
      <c r="AG19" s="55"/>
    </row>
    <row r="20" spans="1:33" ht="15" customHeight="1" x14ac:dyDescent="0.25">
      <c r="A20" s="24">
        <v>2</v>
      </c>
      <c r="B20" s="25" t="s">
        <v>61</v>
      </c>
      <c r="C20" s="25" t="s">
        <v>184</v>
      </c>
      <c r="D20" s="54">
        <v>1</v>
      </c>
      <c r="E20" s="55"/>
      <c r="F20" s="60"/>
      <c r="G20" s="55"/>
      <c r="H20" s="55"/>
      <c r="I20" s="55"/>
      <c r="J20" s="55"/>
      <c r="K20" s="55"/>
      <c r="L20" s="55"/>
      <c r="M20" s="55"/>
      <c r="N20" s="55"/>
      <c r="O20" s="54">
        <v>1</v>
      </c>
      <c r="P20" s="55"/>
      <c r="Q20" s="55"/>
      <c r="R20" s="55"/>
      <c r="S20" s="55"/>
      <c r="T20" s="55"/>
      <c r="U20" s="55"/>
      <c r="V20" s="55"/>
      <c r="W20" s="55"/>
      <c r="X20" s="55"/>
      <c r="Y20" s="60"/>
      <c r="Z20" s="56" t="s">
        <v>185</v>
      </c>
      <c r="AA20" s="57" t="s">
        <v>186</v>
      </c>
      <c r="AB20" s="56" t="s">
        <v>65</v>
      </c>
      <c r="AC20" s="56" t="s">
        <v>40</v>
      </c>
      <c r="AD20" s="60"/>
      <c r="AE20" s="55"/>
      <c r="AF20" s="55"/>
      <c r="AG20" s="60"/>
    </row>
    <row r="21" spans="1:33" ht="15" customHeight="1" x14ac:dyDescent="0.25">
      <c r="A21" s="24">
        <v>2</v>
      </c>
      <c r="B21" s="25" t="s">
        <v>61</v>
      </c>
      <c r="C21" s="25" t="s">
        <v>197</v>
      </c>
      <c r="D21" s="54">
        <v>4</v>
      </c>
      <c r="E21" s="55"/>
      <c r="F21" s="61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4">
        <v>4</v>
      </c>
      <c r="U21" s="55"/>
      <c r="V21" s="55"/>
      <c r="W21" s="55"/>
      <c r="X21" s="55"/>
      <c r="Y21" s="61"/>
      <c r="Z21" s="58" t="s">
        <v>198</v>
      </c>
      <c r="AA21" s="59" t="s">
        <v>199</v>
      </c>
      <c r="AB21" s="58" t="s">
        <v>65</v>
      </c>
      <c r="AC21" s="58" t="s">
        <v>40</v>
      </c>
      <c r="AD21" s="55"/>
      <c r="AE21" s="55"/>
      <c r="AF21" s="55"/>
      <c r="AG21" s="61"/>
    </row>
    <row r="22" spans="1:33" ht="15" customHeight="1" x14ac:dyDescent="0.25">
      <c r="A22" s="24">
        <v>2</v>
      </c>
      <c r="B22" s="25" t="s">
        <v>61</v>
      </c>
      <c r="C22" s="25" t="s">
        <v>235</v>
      </c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60"/>
      <c r="O22" s="54">
        <v>0</v>
      </c>
      <c r="P22" s="54">
        <v>1</v>
      </c>
      <c r="Q22" s="55"/>
      <c r="R22" s="55"/>
      <c r="S22" s="55"/>
      <c r="T22" s="55"/>
      <c r="U22" s="55"/>
      <c r="V22" s="55"/>
      <c r="W22" s="54">
        <v>1</v>
      </c>
      <c r="X22" s="55"/>
      <c r="Y22" s="55"/>
      <c r="Z22" s="56" t="s">
        <v>236</v>
      </c>
      <c r="AA22" s="57" t="s">
        <v>237</v>
      </c>
      <c r="AB22" s="56" t="s">
        <v>65</v>
      </c>
      <c r="AC22" s="56" t="s">
        <v>40</v>
      </c>
      <c r="AD22" s="55"/>
      <c r="AE22" s="55"/>
      <c r="AF22" s="55"/>
      <c r="AG22" s="55"/>
    </row>
    <row r="23" spans="1:33" ht="15" customHeight="1" x14ac:dyDescent="0.25">
      <c r="A23" s="24">
        <v>2</v>
      </c>
      <c r="B23" s="25" t="s">
        <v>61</v>
      </c>
      <c r="C23" s="25" t="s">
        <v>297</v>
      </c>
      <c r="D23" s="54">
        <v>4</v>
      </c>
      <c r="E23" s="55"/>
      <c r="F23" s="55"/>
      <c r="G23" s="55"/>
      <c r="H23" s="55"/>
      <c r="I23" s="55"/>
      <c r="J23" s="55"/>
      <c r="K23" s="54">
        <v>9</v>
      </c>
      <c r="L23" s="54">
        <v>17</v>
      </c>
      <c r="M23" s="55"/>
      <c r="N23" s="54">
        <v>8</v>
      </c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8" t="s">
        <v>198</v>
      </c>
      <c r="AA23" s="59" t="s">
        <v>199</v>
      </c>
      <c r="AB23" s="58" t="s">
        <v>65</v>
      </c>
      <c r="AC23" s="58" t="s">
        <v>40</v>
      </c>
      <c r="AD23" s="55"/>
      <c r="AE23" s="55"/>
      <c r="AF23" s="55"/>
      <c r="AG23" s="55"/>
    </row>
    <row r="24" spans="1:33" ht="15" customHeight="1" x14ac:dyDescent="0.25">
      <c r="A24" s="24">
        <v>2</v>
      </c>
      <c r="B24" s="25" t="s">
        <v>61</v>
      </c>
      <c r="C24" s="25" t="s">
        <v>67</v>
      </c>
      <c r="D24" s="55"/>
      <c r="E24" s="55"/>
      <c r="F24" s="55"/>
      <c r="G24" s="55"/>
      <c r="H24" s="55"/>
      <c r="I24" s="55"/>
      <c r="J24" s="55"/>
      <c r="K24" s="55"/>
      <c r="L24" s="55"/>
      <c r="M24" s="54">
        <v>10</v>
      </c>
      <c r="N24" s="55"/>
      <c r="O24" s="55"/>
      <c r="P24" s="55"/>
      <c r="Q24" s="54">
        <v>3</v>
      </c>
      <c r="R24" s="54">
        <v>3</v>
      </c>
      <c r="S24" s="55"/>
      <c r="T24" s="55"/>
      <c r="U24" s="55"/>
      <c r="V24" s="55"/>
      <c r="W24" s="55"/>
      <c r="X24" s="55"/>
      <c r="Y24" s="60"/>
      <c r="Z24" s="56" t="s">
        <v>68</v>
      </c>
      <c r="AA24" s="57" t="s">
        <v>69</v>
      </c>
      <c r="AB24" s="56" t="s">
        <v>65</v>
      </c>
      <c r="AC24" s="56" t="s">
        <v>51</v>
      </c>
      <c r="AD24" s="54" t="s">
        <v>306</v>
      </c>
      <c r="AE24" s="55"/>
      <c r="AF24" s="55"/>
      <c r="AG24" s="54" t="s">
        <v>307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G22"/>
  <sheetViews>
    <sheetView workbookViewId="0">
      <pane ySplit="1" topLeftCell="A14" activePane="bottomLeft" state="frozen"/>
      <selection pane="bottomLeft" activeCell="C19" sqref="C19"/>
    </sheetView>
  </sheetViews>
  <sheetFormatPr defaultColWidth="12.6328125" defaultRowHeight="15" customHeight="1" x14ac:dyDescent="0.25"/>
  <sheetData>
    <row r="1" spans="1:33" ht="15" customHeight="1" x14ac:dyDescent="0.25">
      <c r="A1" s="14">
        <v>0</v>
      </c>
      <c r="B1" s="15" t="s">
        <v>25</v>
      </c>
      <c r="C1" s="15" t="s">
        <v>19</v>
      </c>
      <c r="D1" s="15" t="s">
        <v>2</v>
      </c>
      <c r="E1" s="15" t="s">
        <v>3</v>
      </c>
      <c r="F1" s="16" t="s">
        <v>31</v>
      </c>
      <c r="G1" s="14" t="s">
        <v>311</v>
      </c>
      <c r="H1" s="14" t="s">
        <v>312</v>
      </c>
      <c r="I1" s="14" t="s">
        <v>313</v>
      </c>
      <c r="J1" s="15" t="s">
        <v>4</v>
      </c>
      <c r="K1" s="15" t="s">
        <v>6</v>
      </c>
      <c r="L1" s="15" t="s">
        <v>7</v>
      </c>
      <c r="M1" s="15" t="s">
        <v>8</v>
      </c>
      <c r="N1" s="16" t="s">
        <v>28</v>
      </c>
      <c r="O1" s="14" t="s">
        <v>314</v>
      </c>
      <c r="P1" s="14" t="s">
        <v>315</v>
      </c>
      <c r="Q1" s="15" t="s">
        <v>11</v>
      </c>
      <c r="R1" s="15" t="s">
        <v>12</v>
      </c>
      <c r="S1" s="15" t="s">
        <v>13</v>
      </c>
      <c r="T1" s="15" t="s">
        <v>14</v>
      </c>
      <c r="U1" s="15" t="s">
        <v>15</v>
      </c>
      <c r="V1" s="15" t="s">
        <v>16</v>
      </c>
      <c r="W1" s="15" t="s">
        <v>17</v>
      </c>
      <c r="X1" s="15" t="s">
        <v>18</v>
      </c>
      <c r="Y1" s="16" t="s">
        <v>29</v>
      </c>
      <c r="Z1" s="16" t="s">
        <v>20</v>
      </c>
      <c r="AA1" s="16" t="s">
        <v>21</v>
      </c>
      <c r="AB1" s="16" t="s">
        <v>22</v>
      </c>
      <c r="AC1" s="16" t="s">
        <v>23</v>
      </c>
      <c r="AD1" s="16" t="s">
        <v>24</v>
      </c>
      <c r="AE1" s="16" t="s">
        <v>26</v>
      </c>
      <c r="AF1" s="16" t="s">
        <v>27</v>
      </c>
      <c r="AG1" s="16" t="s">
        <v>30</v>
      </c>
    </row>
    <row r="2" spans="1:33" ht="15" customHeight="1" x14ac:dyDescent="0.25">
      <c r="A2" s="26">
        <v>3</v>
      </c>
      <c r="B2" s="27" t="s">
        <v>41</v>
      </c>
      <c r="C2" s="27" t="s">
        <v>36</v>
      </c>
      <c r="D2" s="6"/>
      <c r="E2" s="19" t="s">
        <v>34</v>
      </c>
      <c r="F2" s="6"/>
      <c r="G2" s="23">
        <v>2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4" t="s">
        <v>338</v>
      </c>
      <c r="AA2" s="10" t="s">
        <v>38</v>
      </c>
      <c r="AB2" s="9" t="s">
        <v>39</v>
      </c>
      <c r="AC2" s="9" t="s">
        <v>40</v>
      </c>
      <c r="AD2" s="21"/>
      <c r="AE2" s="21"/>
      <c r="AF2" s="21"/>
      <c r="AG2" s="6"/>
    </row>
    <row r="3" spans="1:33" ht="15" customHeight="1" x14ac:dyDescent="0.25">
      <c r="A3" s="26">
        <v>3</v>
      </c>
      <c r="B3" s="27" t="s">
        <v>41</v>
      </c>
      <c r="C3" s="27" t="s">
        <v>44</v>
      </c>
      <c r="D3" s="6"/>
      <c r="E3" s="19" t="s">
        <v>42</v>
      </c>
      <c r="F3" s="6"/>
      <c r="G3" s="23">
        <v>1</v>
      </c>
      <c r="H3" s="23">
        <v>1</v>
      </c>
      <c r="I3" s="6"/>
      <c r="J3" s="6"/>
      <c r="K3" s="6"/>
      <c r="L3" s="6"/>
      <c r="M3" s="6"/>
      <c r="N3" s="6"/>
      <c r="O3" s="19">
        <v>1</v>
      </c>
      <c r="P3" s="19">
        <v>1</v>
      </c>
      <c r="Q3" s="6"/>
      <c r="R3" s="6"/>
      <c r="S3" s="6"/>
      <c r="T3" s="6"/>
      <c r="U3" s="6"/>
      <c r="V3" s="6"/>
      <c r="W3" s="6"/>
      <c r="X3" s="6"/>
      <c r="Y3" s="6"/>
      <c r="Z3" s="5" t="s">
        <v>45</v>
      </c>
      <c r="AA3" s="7" t="s">
        <v>46</v>
      </c>
      <c r="AB3" s="5" t="s">
        <v>47</v>
      </c>
      <c r="AC3" s="5" t="s">
        <v>40</v>
      </c>
      <c r="AD3" s="6"/>
      <c r="AE3" s="6"/>
      <c r="AF3" s="6"/>
      <c r="AG3" s="6"/>
    </row>
    <row r="4" spans="1:33" ht="15" customHeight="1" x14ac:dyDescent="0.25">
      <c r="A4" s="26">
        <v>3</v>
      </c>
      <c r="B4" s="27" t="s">
        <v>41</v>
      </c>
      <c r="C4" s="27" t="s">
        <v>79</v>
      </c>
      <c r="D4" s="6"/>
      <c r="E4" s="6"/>
      <c r="F4" s="21"/>
      <c r="G4" s="19"/>
      <c r="H4" s="19"/>
      <c r="I4" s="19"/>
      <c r="J4" s="19">
        <v>1</v>
      </c>
      <c r="K4" s="6"/>
      <c r="L4" s="6"/>
      <c r="M4" s="6"/>
      <c r="N4" s="6"/>
      <c r="O4" s="6"/>
      <c r="P4" s="6"/>
      <c r="Q4" s="19">
        <v>1</v>
      </c>
      <c r="R4" s="6"/>
      <c r="S4" s="6"/>
      <c r="T4" s="6"/>
      <c r="U4" s="6"/>
      <c r="V4" s="6"/>
      <c r="W4" s="6"/>
      <c r="X4" s="6"/>
      <c r="Y4" s="6"/>
      <c r="Z4" s="9" t="s">
        <v>80</v>
      </c>
      <c r="AA4" s="10" t="s">
        <v>81</v>
      </c>
      <c r="AB4" s="9" t="s">
        <v>47</v>
      </c>
      <c r="AC4" s="9" t="s">
        <v>51</v>
      </c>
      <c r="AD4" s="9">
        <v>32206</v>
      </c>
      <c r="AE4" s="21"/>
      <c r="AF4" s="21"/>
      <c r="AG4" s="21"/>
    </row>
    <row r="5" spans="1:33" ht="15" customHeight="1" x14ac:dyDescent="0.25">
      <c r="A5" s="26">
        <v>3</v>
      </c>
      <c r="B5" s="27" t="s">
        <v>41</v>
      </c>
      <c r="C5" s="27" t="s">
        <v>89</v>
      </c>
      <c r="D5" s="19">
        <v>2</v>
      </c>
      <c r="E5" s="19" t="s">
        <v>88</v>
      </c>
      <c r="F5" s="20"/>
      <c r="G5" s="6"/>
      <c r="H5" s="23">
        <v>2</v>
      </c>
      <c r="I5" s="23">
        <v>2</v>
      </c>
      <c r="J5" s="6"/>
      <c r="K5" s="19">
        <v>2</v>
      </c>
      <c r="L5" s="19">
        <v>2</v>
      </c>
      <c r="M5" s="6">
        <v>1</v>
      </c>
      <c r="N5" s="19">
        <v>10</v>
      </c>
      <c r="O5" s="6"/>
      <c r="P5" s="6"/>
      <c r="Q5" s="6"/>
      <c r="R5" s="6"/>
      <c r="S5" s="6"/>
      <c r="T5" s="6"/>
      <c r="U5" s="6"/>
      <c r="V5" s="6"/>
      <c r="W5" s="19"/>
      <c r="X5" s="19">
        <v>1</v>
      </c>
      <c r="Y5" s="6"/>
      <c r="Z5" s="5" t="s">
        <v>90</v>
      </c>
      <c r="AA5" s="7" t="s">
        <v>91</v>
      </c>
      <c r="AB5" s="5" t="s">
        <v>47</v>
      </c>
      <c r="AC5" s="5" t="s">
        <v>40</v>
      </c>
      <c r="AD5" s="20"/>
      <c r="AE5" s="20"/>
      <c r="AF5" s="20"/>
      <c r="AG5" s="20"/>
    </row>
    <row r="6" spans="1:33" ht="15" customHeight="1" x14ac:dyDescent="0.25">
      <c r="A6" s="26">
        <v>3</v>
      </c>
      <c r="B6" s="27" t="s">
        <v>41</v>
      </c>
      <c r="C6" s="27" t="s">
        <v>102</v>
      </c>
      <c r="D6" s="19">
        <v>1</v>
      </c>
      <c r="E6" s="6"/>
      <c r="F6" s="6"/>
      <c r="G6" s="19"/>
      <c r="H6" s="22"/>
      <c r="I6" s="22"/>
      <c r="J6" s="19">
        <v>1</v>
      </c>
      <c r="K6" s="6"/>
      <c r="L6" s="6"/>
      <c r="M6" s="6"/>
      <c r="N6" s="21"/>
      <c r="O6" s="6"/>
      <c r="P6" s="19">
        <v>2</v>
      </c>
      <c r="Q6" s="6"/>
      <c r="R6" s="6"/>
      <c r="S6" s="6"/>
      <c r="T6" s="6"/>
      <c r="U6" s="6"/>
      <c r="V6" s="6"/>
      <c r="W6" s="6"/>
      <c r="X6" s="19">
        <v>1</v>
      </c>
      <c r="Y6" s="6"/>
      <c r="Z6" s="9" t="s">
        <v>103</v>
      </c>
      <c r="AA6" s="10" t="s">
        <v>104</v>
      </c>
      <c r="AB6" s="9" t="s">
        <v>47</v>
      </c>
      <c r="AC6" s="9" t="s">
        <v>51</v>
      </c>
      <c r="AD6" s="9">
        <v>40236</v>
      </c>
      <c r="AE6" s="21"/>
      <c r="AF6" s="21"/>
      <c r="AG6" s="6"/>
    </row>
    <row r="7" spans="1:33" ht="15" customHeight="1" x14ac:dyDescent="0.25">
      <c r="A7" s="26">
        <v>3</v>
      </c>
      <c r="B7" s="27" t="s">
        <v>41</v>
      </c>
      <c r="C7" s="27" t="s">
        <v>102</v>
      </c>
      <c r="D7" s="6"/>
      <c r="E7" s="6"/>
      <c r="F7" s="19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5">
        <v>5</v>
      </c>
      <c r="Z7" s="5" t="s">
        <v>103</v>
      </c>
      <c r="AA7" s="7" t="s">
        <v>104</v>
      </c>
      <c r="AB7" s="5" t="s">
        <v>47</v>
      </c>
      <c r="AC7" s="5" t="s">
        <v>51</v>
      </c>
      <c r="AD7" s="19">
        <v>40236</v>
      </c>
      <c r="AE7" s="6"/>
      <c r="AF7" s="6"/>
      <c r="AG7" s="19"/>
    </row>
    <row r="8" spans="1:33" ht="15" customHeight="1" x14ac:dyDescent="0.25">
      <c r="A8" s="26">
        <v>3</v>
      </c>
      <c r="B8" s="27" t="s">
        <v>41</v>
      </c>
      <c r="C8" s="27" t="s">
        <v>116</v>
      </c>
      <c r="D8" s="19">
        <v>3</v>
      </c>
      <c r="E8" s="6"/>
      <c r="F8" s="6"/>
      <c r="G8" s="6"/>
      <c r="H8" s="6"/>
      <c r="I8" s="6"/>
      <c r="J8" s="6"/>
      <c r="K8" s="19">
        <v>1</v>
      </c>
      <c r="L8" s="6"/>
      <c r="M8" s="19">
        <v>1</v>
      </c>
      <c r="N8" s="19">
        <v>3</v>
      </c>
      <c r="O8" s="19">
        <v>2</v>
      </c>
      <c r="P8" s="19">
        <v>1</v>
      </c>
      <c r="Q8" s="6"/>
      <c r="R8" s="19">
        <v>1</v>
      </c>
      <c r="S8" s="6"/>
      <c r="T8" s="6"/>
      <c r="U8" s="6"/>
      <c r="V8" s="6"/>
      <c r="W8" s="6"/>
      <c r="X8" s="6"/>
      <c r="Y8" s="6"/>
      <c r="Z8" s="9" t="s">
        <v>117</v>
      </c>
      <c r="AA8" s="10" t="s">
        <v>118</v>
      </c>
      <c r="AB8" s="9" t="s">
        <v>39</v>
      </c>
      <c r="AC8" s="9" t="s">
        <v>40</v>
      </c>
      <c r="AD8" s="6"/>
      <c r="AE8" s="6"/>
      <c r="AF8" s="6"/>
      <c r="AG8" s="6"/>
    </row>
    <row r="9" spans="1:33" ht="15" customHeight="1" x14ac:dyDescent="0.25">
      <c r="A9" s="26">
        <v>3</v>
      </c>
      <c r="B9" s="27" t="s">
        <v>41</v>
      </c>
      <c r="C9" s="27" t="s">
        <v>119</v>
      </c>
      <c r="D9" s="6"/>
      <c r="E9" s="6"/>
      <c r="F9" s="6"/>
      <c r="G9" s="6"/>
      <c r="H9" s="6"/>
      <c r="I9" s="6"/>
      <c r="J9" s="6"/>
      <c r="K9" s="6"/>
      <c r="L9" s="19">
        <v>1</v>
      </c>
      <c r="M9" s="6"/>
      <c r="N9" s="6"/>
      <c r="O9" s="6"/>
      <c r="P9" s="19">
        <v>1</v>
      </c>
      <c r="Q9" s="6"/>
      <c r="R9" s="6"/>
      <c r="S9" s="6"/>
      <c r="T9" s="6"/>
      <c r="U9" s="6"/>
      <c r="V9" s="19"/>
      <c r="W9" s="6"/>
      <c r="X9" s="6"/>
      <c r="Y9" s="6"/>
      <c r="Z9" s="63" t="s">
        <v>336</v>
      </c>
      <c r="AA9" s="7" t="s">
        <v>121</v>
      </c>
      <c r="AB9" s="5" t="s">
        <v>39</v>
      </c>
      <c r="AC9" s="5" t="s">
        <v>40</v>
      </c>
      <c r="AD9" s="20"/>
      <c r="AE9" s="20"/>
      <c r="AF9" s="20"/>
      <c r="AG9" s="6"/>
    </row>
    <row r="10" spans="1:33" ht="15" customHeight="1" x14ac:dyDescent="0.25">
      <c r="A10" s="26">
        <v>3</v>
      </c>
      <c r="B10" s="27" t="s">
        <v>41</v>
      </c>
      <c r="C10" s="27" t="s">
        <v>150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19">
        <v>1</v>
      </c>
      <c r="W10" s="19">
        <v>1</v>
      </c>
      <c r="X10" s="6"/>
      <c r="Y10" s="9"/>
      <c r="Z10" s="9" t="s">
        <v>151</v>
      </c>
      <c r="AA10" s="10" t="s">
        <v>152</v>
      </c>
      <c r="AB10" s="9" t="s">
        <v>47</v>
      </c>
      <c r="AC10" s="9" t="s">
        <v>40</v>
      </c>
      <c r="AD10" s="21"/>
      <c r="AE10" s="21"/>
      <c r="AF10" s="21"/>
      <c r="AG10" s="6"/>
    </row>
    <row r="11" spans="1:33" ht="15" customHeight="1" x14ac:dyDescent="0.25">
      <c r="A11" s="26">
        <v>3</v>
      </c>
      <c r="B11" s="27" t="s">
        <v>41</v>
      </c>
      <c r="C11" s="27" t="s">
        <v>153</v>
      </c>
      <c r="D11" s="6"/>
      <c r="E11" s="6"/>
      <c r="F11" s="20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9">
        <v>1</v>
      </c>
      <c r="S11" s="6"/>
      <c r="T11" s="6"/>
      <c r="U11" s="19">
        <v>1</v>
      </c>
      <c r="V11" s="19">
        <v>1</v>
      </c>
      <c r="W11" s="6"/>
      <c r="X11" s="19">
        <v>1</v>
      </c>
      <c r="Y11" s="6"/>
      <c r="Z11" s="5" t="s">
        <v>154</v>
      </c>
      <c r="AA11" s="7" t="s">
        <v>155</v>
      </c>
      <c r="AB11" s="5" t="s">
        <v>47</v>
      </c>
      <c r="AC11" s="5" t="s">
        <v>40</v>
      </c>
      <c r="AD11" s="6"/>
      <c r="AE11" s="6"/>
      <c r="AF11" s="6"/>
      <c r="AG11" s="20"/>
    </row>
    <row r="12" spans="1:33" ht="15" customHeight="1" x14ac:dyDescent="0.25">
      <c r="A12" s="26">
        <v>3</v>
      </c>
      <c r="B12" s="27" t="s">
        <v>41</v>
      </c>
      <c r="C12" s="27" t="s">
        <v>190</v>
      </c>
      <c r="D12" s="6"/>
      <c r="E12" s="6"/>
      <c r="F12" s="21"/>
      <c r="G12" s="6"/>
      <c r="H12" s="6"/>
      <c r="I12" s="6"/>
      <c r="J12" s="6"/>
      <c r="K12" s="6"/>
      <c r="L12" s="6"/>
      <c r="M12" s="6"/>
      <c r="N12" s="19" t="s">
        <v>193</v>
      </c>
      <c r="O12" s="6"/>
      <c r="P12" s="19">
        <v>2</v>
      </c>
      <c r="Q12" s="6"/>
      <c r="R12" s="6"/>
      <c r="S12" s="6"/>
      <c r="T12" s="6"/>
      <c r="U12" s="6"/>
      <c r="V12" s="6"/>
      <c r="W12" s="6"/>
      <c r="X12" s="6"/>
      <c r="Y12" s="6"/>
      <c r="Z12" s="64" t="s">
        <v>337</v>
      </c>
      <c r="AA12" s="10" t="s">
        <v>192</v>
      </c>
      <c r="AB12" s="9" t="s">
        <v>47</v>
      </c>
      <c r="AC12" s="9" t="s">
        <v>40</v>
      </c>
      <c r="AD12" s="21"/>
      <c r="AE12" s="21"/>
      <c r="AF12" s="21"/>
      <c r="AG12" s="6"/>
    </row>
    <row r="13" spans="1:33" ht="15" customHeight="1" x14ac:dyDescent="0.25">
      <c r="A13" s="26">
        <v>3</v>
      </c>
      <c r="B13" s="27" t="s">
        <v>41</v>
      </c>
      <c r="C13" s="27" t="s">
        <v>205</v>
      </c>
      <c r="D13" s="6"/>
      <c r="E13" s="6"/>
      <c r="F13" s="6"/>
      <c r="G13" s="19"/>
      <c r="H13" s="19"/>
      <c r="I13" s="19"/>
      <c r="J13" s="19">
        <v>1</v>
      </c>
      <c r="K13" s="19">
        <v>1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3" t="s">
        <v>340</v>
      </c>
      <c r="AA13" s="7" t="s">
        <v>207</v>
      </c>
      <c r="AB13" s="5" t="s">
        <v>47</v>
      </c>
      <c r="AC13" s="5" t="s">
        <v>51</v>
      </c>
      <c r="AD13" s="19">
        <v>56840</v>
      </c>
      <c r="AE13" s="6"/>
      <c r="AF13" s="6"/>
      <c r="AG13" s="6"/>
    </row>
    <row r="14" spans="1:33" ht="15" customHeight="1" x14ac:dyDescent="0.25">
      <c r="A14" s="26">
        <v>3</v>
      </c>
      <c r="B14" s="27" t="s">
        <v>41</v>
      </c>
      <c r="C14" s="27" t="s">
        <v>250</v>
      </c>
      <c r="D14" s="6"/>
      <c r="E14" s="6"/>
      <c r="F14" s="6"/>
      <c r="G14" s="6"/>
      <c r="H14" s="6"/>
      <c r="I14" s="6"/>
      <c r="J14" s="6"/>
      <c r="K14" s="6"/>
      <c r="L14" s="19">
        <v>1</v>
      </c>
      <c r="M14" s="19">
        <v>1</v>
      </c>
      <c r="N14" s="6"/>
      <c r="O14" s="19">
        <v>1</v>
      </c>
      <c r="P14" s="6"/>
      <c r="Q14" s="6"/>
      <c r="R14" s="6"/>
      <c r="S14" s="6"/>
      <c r="T14" s="6"/>
      <c r="U14" s="19">
        <v>1</v>
      </c>
      <c r="V14" s="6"/>
      <c r="W14" s="6"/>
      <c r="X14" s="6"/>
      <c r="Y14" s="6"/>
      <c r="Z14" s="9" t="s">
        <v>251</v>
      </c>
      <c r="AA14" s="10" t="s">
        <v>252</v>
      </c>
      <c r="AB14" s="9" t="s">
        <v>47</v>
      </c>
      <c r="AC14" s="9" t="s">
        <v>40</v>
      </c>
      <c r="AD14" s="21"/>
      <c r="AE14" s="21"/>
      <c r="AF14" s="21"/>
      <c r="AG14" s="6"/>
    </row>
    <row r="15" spans="1:33" ht="15" customHeight="1" x14ac:dyDescent="0.25">
      <c r="A15" s="26">
        <v>3</v>
      </c>
      <c r="B15" s="27" t="s">
        <v>41</v>
      </c>
      <c r="C15" s="27" t="s">
        <v>262</v>
      </c>
      <c r="D15" s="19">
        <v>1</v>
      </c>
      <c r="E15" s="19">
        <v>1</v>
      </c>
      <c r="F15" s="19" t="s">
        <v>265</v>
      </c>
      <c r="G15" s="23">
        <v>1</v>
      </c>
      <c r="H15" s="23">
        <v>1</v>
      </c>
      <c r="I15" s="6"/>
      <c r="J15" s="6"/>
      <c r="K15" s="6"/>
      <c r="L15" s="6"/>
      <c r="M15" s="6"/>
      <c r="N15" s="6"/>
      <c r="O15" s="19">
        <v>1</v>
      </c>
      <c r="P15" s="19">
        <v>1</v>
      </c>
      <c r="Q15" s="6"/>
      <c r="R15" s="6"/>
      <c r="S15" s="6"/>
      <c r="T15" s="6"/>
      <c r="U15" s="6"/>
      <c r="V15" s="6"/>
      <c r="W15" s="6"/>
      <c r="X15" s="6"/>
      <c r="Y15" s="6"/>
      <c r="Z15" s="63" t="s">
        <v>339</v>
      </c>
      <c r="AA15" s="7" t="s">
        <v>264</v>
      </c>
      <c r="AB15" s="5" t="s">
        <v>47</v>
      </c>
      <c r="AC15" s="5" t="s">
        <v>40</v>
      </c>
      <c r="AD15" s="6"/>
      <c r="AE15" s="6"/>
      <c r="AF15" s="6"/>
      <c r="AG15" s="6"/>
    </row>
    <row r="16" spans="1:33" ht="15" customHeight="1" x14ac:dyDescent="0.25">
      <c r="A16" s="26">
        <v>3</v>
      </c>
      <c r="B16" s="27" t="s">
        <v>41</v>
      </c>
      <c r="C16" s="27" t="s">
        <v>273</v>
      </c>
      <c r="D16" s="6"/>
      <c r="E16" s="6"/>
      <c r="F16" s="6"/>
      <c r="G16" s="19"/>
      <c r="H16" s="19"/>
      <c r="I16" s="19"/>
      <c r="J16" s="19">
        <v>4</v>
      </c>
      <c r="K16" s="6"/>
      <c r="L16" s="6"/>
      <c r="M16" s="6"/>
      <c r="N16" s="21"/>
      <c r="O16" s="19">
        <v>1</v>
      </c>
      <c r="P16" s="19">
        <v>3</v>
      </c>
      <c r="Q16" s="6"/>
      <c r="R16" s="6"/>
      <c r="S16" s="6"/>
      <c r="T16" s="6"/>
      <c r="U16" s="6"/>
      <c r="V16" s="6"/>
      <c r="W16" s="6"/>
      <c r="X16" s="6"/>
      <c r="Y16" s="6"/>
      <c r="Z16" s="9" t="s">
        <v>274</v>
      </c>
      <c r="AA16" s="10" t="s">
        <v>155</v>
      </c>
      <c r="AB16" s="9" t="s">
        <v>47</v>
      </c>
      <c r="AC16" s="9" t="s">
        <v>40</v>
      </c>
      <c r="AD16" s="6"/>
      <c r="AE16" s="6"/>
      <c r="AF16" s="6"/>
      <c r="AG16" s="6"/>
    </row>
    <row r="17" spans="1:33" ht="15" customHeight="1" x14ac:dyDescent="0.25">
      <c r="A17" s="26">
        <v>3</v>
      </c>
      <c r="B17" s="27" t="s">
        <v>41</v>
      </c>
      <c r="C17" s="27" t="s">
        <v>284</v>
      </c>
      <c r="D17" s="19">
        <v>2</v>
      </c>
      <c r="E17" s="6"/>
      <c r="F17" s="6"/>
      <c r="G17" s="6"/>
      <c r="H17" s="6"/>
      <c r="I17" s="6"/>
      <c r="J17" s="6"/>
      <c r="K17" s="6"/>
      <c r="L17" s="6"/>
      <c r="M17" s="6"/>
      <c r="N17" s="20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5" t="s">
        <v>285</v>
      </c>
      <c r="AA17" s="7" t="s">
        <v>286</v>
      </c>
      <c r="AB17" s="5" t="s">
        <v>47</v>
      </c>
      <c r="AC17" s="5" t="s">
        <v>51</v>
      </c>
      <c r="AD17" s="31" t="s">
        <v>287</v>
      </c>
      <c r="AE17" s="6"/>
      <c r="AF17" s="6"/>
      <c r="AG17" s="19" t="s">
        <v>288</v>
      </c>
    </row>
    <row r="18" spans="1:33" ht="15" customHeight="1" x14ac:dyDescent="0.25">
      <c r="A18" s="26">
        <v>3</v>
      </c>
      <c r="B18" s="27" t="s">
        <v>41</v>
      </c>
      <c r="C18" s="27" t="s">
        <v>298</v>
      </c>
      <c r="D18" s="6"/>
      <c r="E18" s="19">
        <v>5</v>
      </c>
      <c r="F18" s="19" t="s">
        <v>299</v>
      </c>
      <c r="G18" s="22">
        <v>5</v>
      </c>
      <c r="H18" s="19"/>
      <c r="I18" s="22">
        <v>5</v>
      </c>
      <c r="J18" s="19">
        <v>5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9" t="s">
        <v>198</v>
      </c>
      <c r="AA18" s="10" t="s">
        <v>199</v>
      </c>
      <c r="AB18" s="9" t="s">
        <v>47</v>
      </c>
      <c r="AC18" s="9" t="s">
        <v>40</v>
      </c>
      <c r="AD18" s="6"/>
      <c r="AE18" s="6"/>
      <c r="AF18" s="6"/>
      <c r="AG18" s="6"/>
    </row>
    <row r="19" spans="1:33" ht="15" customHeight="1" x14ac:dyDescent="0.25">
      <c r="A19" s="26">
        <v>3</v>
      </c>
      <c r="B19" s="27" t="s">
        <v>41</v>
      </c>
      <c r="C19" s="27" t="s">
        <v>102</v>
      </c>
      <c r="D19" s="19">
        <v>8</v>
      </c>
      <c r="E19" s="6"/>
      <c r="F19" s="6"/>
      <c r="G19" s="19"/>
      <c r="H19" s="19"/>
      <c r="I19" s="19"/>
      <c r="J19" s="19">
        <v>7</v>
      </c>
      <c r="K19" s="19">
        <v>3</v>
      </c>
      <c r="L19" s="6"/>
      <c r="M19" s="19">
        <v>2</v>
      </c>
      <c r="N19" s="6"/>
      <c r="O19" s="6"/>
      <c r="P19" s="19">
        <v>15</v>
      </c>
      <c r="Q19" s="6"/>
      <c r="R19" s="6"/>
      <c r="S19" s="6"/>
      <c r="T19" s="6"/>
      <c r="U19" s="6"/>
      <c r="V19" s="6"/>
      <c r="W19" s="6"/>
      <c r="X19" s="6"/>
      <c r="Y19" s="6"/>
      <c r="Z19" s="5" t="s">
        <v>103</v>
      </c>
      <c r="AA19" s="7" t="s">
        <v>104</v>
      </c>
      <c r="AB19" s="5" t="s">
        <v>47</v>
      </c>
      <c r="AC19" s="5" t="s">
        <v>51</v>
      </c>
      <c r="AD19" s="19">
        <v>40236</v>
      </c>
      <c r="AE19" s="6"/>
      <c r="AF19" s="6"/>
      <c r="AG19" s="6"/>
    </row>
    <row r="20" spans="1:33" ht="15" customHeight="1" x14ac:dyDescent="0.25">
      <c r="A20" s="32">
        <v>4</v>
      </c>
      <c r="B20" s="33" t="s">
        <v>133</v>
      </c>
      <c r="C20" s="33" t="s">
        <v>130</v>
      </c>
      <c r="D20" s="6"/>
      <c r="E20" s="19" t="s">
        <v>129</v>
      </c>
      <c r="F20" s="6"/>
      <c r="G20" s="6"/>
      <c r="H20" s="23">
        <v>2</v>
      </c>
      <c r="I20" s="6"/>
      <c r="J20" s="6"/>
      <c r="K20" s="19">
        <v>2</v>
      </c>
      <c r="L20" s="19">
        <v>2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9" t="s">
        <v>131</v>
      </c>
      <c r="AA20" s="10" t="s">
        <v>132</v>
      </c>
      <c r="AB20" s="9" t="s">
        <v>39</v>
      </c>
      <c r="AC20" s="9" t="s">
        <v>40</v>
      </c>
      <c r="AD20" s="21"/>
      <c r="AE20" s="21"/>
      <c r="AF20" s="21"/>
      <c r="AG20" s="6"/>
    </row>
    <row r="21" spans="1:33" ht="15" customHeight="1" x14ac:dyDescent="0.25">
      <c r="A21" s="32">
        <v>4</v>
      </c>
      <c r="B21" s="33" t="s">
        <v>133</v>
      </c>
      <c r="C21" s="33" t="s">
        <v>213</v>
      </c>
      <c r="D21" s="19">
        <v>8</v>
      </c>
      <c r="E21" s="19" t="s">
        <v>212</v>
      </c>
      <c r="F21" s="19" t="s">
        <v>212</v>
      </c>
      <c r="G21" s="23">
        <v>2</v>
      </c>
      <c r="H21" s="6"/>
      <c r="I21" s="6"/>
      <c r="J21" s="6"/>
      <c r="K21" s="6"/>
      <c r="L21" s="19">
        <v>1</v>
      </c>
      <c r="M21" s="6"/>
      <c r="N21" s="19">
        <v>1</v>
      </c>
      <c r="O21" s="6"/>
      <c r="P21" s="6"/>
      <c r="Q21" s="6"/>
      <c r="R21" s="6"/>
      <c r="S21" s="6"/>
      <c r="T21" s="6"/>
      <c r="U21" s="6"/>
      <c r="V21" s="6"/>
      <c r="W21" s="6"/>
      <c r="X21" s="19"/>
      <c r="Y21" s="6"/>
      <c r="Z21" s="5" t="s">
        <v>214</v>
      </c>
      <c r="AA21" s="7" t="s">
        <v>215</v>
      </c>
      <c r="AB21" s="5" t="s">
        <v>47</v>
      </c>
      <c r="AC21" s="5" t="s">
        <v>40</v>
      </c>
      <c r="AD21" s="20"/>
      <c r="AE21" s="6"/>
      <c r="AF21" s="6"/>
      <c r="AG21" s="6"/>
    </row>
    <row r="22" spans="1:33" ht="15" customHeight="1" x14ac:dyDescent="0.25">
      <c r="A22" s="32">
        <v>4</v>
      </c>
      <c r="B22" s="33" t="s">
        <v>133</v>
      </c>
      <c r="C22" s="33" t="s">
        <v>302</v>
      </c>
      <c r="D22" s="22">
        <v>2</v>
      </c>
      <c r="E22" s="6"/>
      <c r="F22" s="6"/>
      <c r="G22" s="6"/>
      <c r="H22" s="6"/>
      <c r="I22" s="6"/>
      <c r="J22" s="6"/>
      <c r="K22" s="6"/>
      <c r="L22" s="6"/>
      <c r="M22" s="19" t="s">
        <v>301</v>
      </c>
      <c r="N22" s="6"/>
      <c r="O22" s="6"/>
      <c r="P22" s="19" t="s">
        <v>300</v>
      </c>
      <c r="Q22" s="6"/>
      <c r="R22" s="6"/>
      <c r="S22" s="6"/>
      <c r="T22" s="6"/>
      <c r="U22" s="6"/>
      <c r="V22" s="6"/>
      <c r="W22" s="6"/>
      <c r="X22" s="6"/>
      <c r="Y22" s="6"/>
      <c r="Z22" s="9" t="s">
        <v>303</v>
      </c>
      <c r="AA22" s="10" t="s">
        <v>304</v>
      </c>
      <c r="AB22" s="9" t="s">
        <v>47</v>
      </c>
      <c r="AC22" s="9" t="s">
        <v>40</v>
      </c>
      <c r="AD22" s="21"/>
      <c r="AE22" s="21"/>
      <c r="AF22" s="21"/>
      <c r="AG22" s="19" t="s">
        <v>305</v>
      </c>
    </row>
  </sheetData>
  <phoneticPr fontId="6" type="noConversion"/>
  <hyperlinks>
    <hyperlink ref="Z9" r:id="rId1"/>
    <hyperlink ref="Z12" r:id="rId2"/>
    <hyperlink ref="Z2" r:id="rId3"/>
    <hyperlink ref="Z15" r:id="rId4"/>
    <hyperlink ref="Z13" r:id="rId5"/>
  </hyperlinks>
  <pageMargins left="0.7" right="0.7" top="0.75" bottom="0.75" header="0.3" footer="0.3"/>
  <tableParts count="2"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G1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" customHeight="1" x14ac:dyDescent="0.25"/>
  <sheetData>
    <row r="1" spans="1:33" ht="15" customHeight="1" x14ac:dyDescent="0.25">
      <c r="A1" s="14">
        <v>0</v>
      </c>
      <c r="B1" s="15" t="s">
        <v>25</v>
      </c>
      <c r="C1" s="15" t="s">
        <v>19</v>
      </c>
      <c r="D1" s="15" t="s">
        <v>2</v>
      </c>
      <c r="E1" s="15" t="s">
        <v>3</v>
      </c>
      <c r="F1" s="16" t="s">
        <v>31</v>
      </c>
      <c r="G1" s="14" t="s">
        <v>311</v>
      </c>
      <c r="H1" s="14" t="s">
        <v>312</v>
      </c>
      <c r="I1" s="14" t="s">
        <v>313</v>
      </c>
      <c r="J1" s="15" t="s">
        <v>4</v>
      </c>
      <c r="K1" s="15" t="s">
        <v>6</v>
      </c>
      <c r="L1" s="15" t="s">
        <v>7</v>
      </c>
      <c r="M1" s="15" t="s">
        <v>8</v>
      </c>
      <c r="N1" s="16" t="s">
        <v>28</v>
      </c>
      <c r="O1" s="14" t="s">
        <v>314</v>
      </c>
      <c r="P1" s="14" t="s">
        <v>315</v>
      </c>
      <c r="Q1" s="15" t="s">
        <v>11</v>
      </c>
      <c r="R1" s="15" t="s">
        <v>12</v>
      </c>
      <c r="S1" s="15" t="s">
        <v>13</v>
      </c>
      <c r="T1" s="15" t="s">
        <v>14</v>
      </c>
      <c r="U1" s="15" t="s">
        <v>15</v>
      </c>
      <c r="V1" s="15" t="s">
        <v>16</v>
      </c>
      <c r="W1" s="15" t="s">
        <v>17</v>
      </c>
      <c r="X1" s="15" t="s">
        <v>18</v>
      </c>
      <c r="Y1" s="16" t="s">
        <v>29</v>
      </c>
      <c r="Z1" s="16" t="s">
        <v>20</v>
      </c>
      <c r="AA1" s="16" t="s">
        <v>21</v>
      </c>
      <c r="AB1" s="16" t="s">
        <v>22</v>
      </c>
      <c r="AC1" s="16" t="s">
        <v>23</v>
      </c>
      <c r="AD1" s="16" t="s">
        <v>24</v>
      </c>
      <c r="AE1" s="16" t="s">
        <v>26</v>
      </c>
      <c r="AF1" s="16" t="s">
        <v>27</v>
      </c>
      <c r="AG1" s="16" t="s">
        <v>30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G28"/>
  <sheetViews>
    <sheetView topLeftCell="Z1" workbookViewId="0">
      <pane ySplit="1" topLeftCell="A2" activePane="bottomLeft" state="frozen"/>
      <selection pane="bottomLeft" activeCell="AF24" sqref="AF24"/>
    </sheetView>
  </sheetViews>
  <sheetFormatPr defaultColWidth="12.6328125" defaultRowHeight="15" customHeight="1" x14ac:dyDescent="0.25"/>
  <sheetData>
    <row r="1" spans="1:33" ht="15" customHeight="1" x14ac:dyDescent="0.25">
      <c r="A1" s="14">
        <v>0</v>
      </c>
      <c r="B1" s="15" t="s">
        <v>25</v>
      </c>
      <c r="C1" s="15" t="s">
        <v>19</v>
      </c>
      <c r="D1" s="15" t="s">
        <v>2</v>
      </c>
      <c r="E1" s="15" t="s">
        <v>3</v>
      </c>
      <c r="F1" s="16" t="s">
        <v>31</v>
      </c>
      <c r="G1" s="14" t="s">
        <v>311</v>
      </c>
      <c r="H1" s="14" t="s">
        <v>312</v>
      </c>
      <c r="I1" s="14" t="s">
        <v>313</v>
      </c>
      <c r="J1" s="15" t="s">
        <v>4</v>
      </c>
      <c r="K1" s="15" t="s">
        <v>6</v>
      </c>
      <c r="L1" s="15" t="s">
        <v>7</v>
      </c>
      <c r="M1" s="15" t="s">
        <v>8</v>
      </c>
      <c r="N1" s="16" t="s">
        <v>28</v>
      </c>
      <c r="O1" s="14" t="s">
        <v>314</v>
      </c>
      <c r="P1" s="14" t="s">
        <v>315</v>
      </c>
      <c r="Q1" s="15" t="s">
        <v>11</v>
      </c>
      <c r="R1" s="15" t="s">
        <v>12</v>
      </c>
      <c r="S1" s="15" t="s">
        <v>13</v>
      </c>
      <c r="T1" s="15" t="s">
        <v>14</v>
      </c>
      <c r="U1" s="15" t="s">
        <v>15</v>
      </c>
      <c r="V1" s="15" t="s">
        <v>16</v>
      </c>
      <c r="W1" s="15" t="s">
        <v>17</v>
      </c>
      <c r="X1" s="15" t="s">
        <v>18</v>
      </c>
      <c r="Y1" s="16" t="s">
        <v>29</v>
      </c>
      <c r="Z1" s="16" t="s">
        <v>20</v>
      </c>
      <c r="AA1" s="16" t="s">
        <v>21</v>
      </c>
      <c r="AB1" s="16" t="s">
        <v>22</v>
      </c>
      <c r="AC1" s="16" t="s">
        <v>23</v>
      </c>
      <c r="AD1" s="16" t="s">
        <v>24</v>
      </c>
      <c r="AE1" s="16" t="s">
        <v>26</v>
      </c>
      <c r="AF1" s="16" t="s">
        <v>27</v>
      </c>
      <c r="AG1" s="16" t="s">
        <v>30</v>
      </c>
    </row>
    <row r="2" spans="1:33" ht="15" customHeight="1" x14ac:dyDescent="0.25">
      <c r="A2" s="34">
        <v>6</v>
      </c>
      <c r="B2" s="35" t="s">
        <v>52</v>
      </c>
      <c r="C2" s="35" t="s">
        <v>48</v>
      </c>
      <c r="D2" s="19">
        <v>1</v>
      </c>
      <c r="E2" s="6"/>
      <c r="F2" s="20"/>
      <c r="G2" s="6"/>
      <c r="H2" s="6"/>
      <c r="I2" s="6"/>
      <c r="J2" s="6"/>
      <c r="K2" s="19">
        <v>1</v>
      </c>
      <c r="L2" s="19">
        <v>1</v>
      </c>
      <c r="M2" s="6"/>
      <c r="N2" s="20"/>
      <c r="O2" s="6"/>
      <c r="P2" s="6"/>
      <c r="Q2" s="6"/>
      <c r="R2" s="6"/>
      <c r="S2" s="6"/>
      <c r="T2" s="19">
        <v>1</v>
      </c>
      <c r="U2" s="6"/>
      <c r="V2" s="6"/>
      <c r="W2" s="6"/>
      <c r="X2" s="6"/>
      <c r="Y2" s="6"/>
      <c r="Z2" s="5" t="s">
        <v>49</v>
      </c>
      <c r="AA2" s="7" t="s">
        <v>50</v>
      </c>
      <c r="AB2" s="5" t="s">
        <v>47</v>
      </c>
      <c r="AC2" s="5" t="s">
        <v>51</v>
      </c>
      <c r="AD2" s="19">
        <v>48484</v>
      </c>
      <c r="AE2" s="19" t="s">
        <v>48</v>
      </c>
      <c r="AF2" s="19" t="s">
        <v>53</v>
      </c>
      <c r="AG2" s="6"/>
    </row>
    <row r="3" spans="1:33" ht="15" customHeight="1" x14ac:dyDescent="0.25">
      <c r="A3" s="34">
        <v>6</v>
      </c>
      <c r="B3" s="35" t="s">
        <v>52</v>
      </c>
      <c r="C3" s="35" t="s">
        <v>54</v>
      </c>
      <c r="D3" s="19">
        <v>4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9" t="s">
        <v>55</v>
      </c>
      <c r="AA3" s="10" t="s">
        <v>56</v>
      </c>
      <c r="AB3" s="9" t="s">
        <v>47</v>
      </c>
      <c r="AC3" s="9" t="s">
        <v>51</v>
      </c>
      <c r="AD3" s="9">
        <v>43004</v>
      </c>
      <c r="AE3" s="9" t="s">
        <v>54</v>
      </c>
      <c r="AF3" s="9" t="s">
        <v>57</v>
      </c>
      <c r="AG3" s="6"/>
    </row>
    <row r="4" spans="1:33" ht="15" customHeight="1" x14ac:dyDescent="0.25">
      <c r="A4" s="34">
        <v>6</v>
      </c>
      <c r="B4" s="35" t="s">
        <v>52</v>
      </c>
      <c r="C4" s="35" t="s">
        <v>75</v>
      </c>
      <c r="D4" s="19">
        <v>2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5" t="s">
        <v>76</v>
      </c>
      <c r="AA4" s="7" t="s">
        <v>77</v>
      </c>
      <c r="AB4" s="5" t="s">
        <v>47</v>
      </c>
      <c r="AC4" s="5" t="s">
        <v>51</v>
      </c>
      <c r="AD4" s="5">
        <v>52647</v>
      </c>
      <c r="AE4" s="5" t="s">
        <v>75</v>
      </c>
      <c r="AF4" s="5" t="s">
        <v>78</v>
      </c>
      <c r="AG4" s="6"/>
    </row>
    <row r="5" spans="1:33" ht="15" customHeight="1" x14ac:dyDescent="0.25">
      <c r="A5" s="34">
        <v>6</v>
      </c>
      <c r="B5" s="35" t="s">
        <v>52</v>
      </c>
      <c r="C5" s="35" t="s">
        <v>93</v>
      </c>
      <c r="D5" s="6"/>
      <c r="E5" s="19" t="s">
        <v>92</v>
      </c>
      <c r="F5" s="6"/>
      <c r="G5" s="6"/>
      <c r="H5" s="23">
        <v>6</v>
      </c>
      <c r="I5" s="23">
        <v>6</v>
      </c>
      <c r="J5" s="6"/>
      <c r="K5" s="6"/>
      <c r="L5" s="6"/>
      <c r="M5" s="6"/>
      <c r="N5" s="6"/>
      <c r="O5" s="19">
        <v>2</v>
      </c>
      <c r="P5" s="19">
        <v>3</v>
      </c>
      <c r="Q5" s="6"/>
      <c r="R5" s="6"/>
      <c r="S5" s="6"/>
      <c r="T5" s="6"/>
      <c r="U5" s="6"/>
      <c r="V5" s="6"/>
      <c r="W5" s="6"/>
      <c r="X5" s="6"/>
      <c r="Y5" s="6"/>
      <c r="Z5" s="9" t="s">
        <v>94</v>
      </c>
      <c r="AA5" s="10" t="s">
        <v>95</v>
      </c>
      <c r="AB5" s="9" t="s">
        <v>47</v>
      </c>
      <c r="AC5" s="9" t="s">
        <v>51</v>
      </c>
      <c r="AD5" s="10" t="s">
        <v>96</v>
      </c>
      <c r="AE5" s="9" t="s">
        <v>97</v>
      </c>
      <c r="AF5" s="9" t="s">
        <v>98</v>
      </c>
      <c r="AG5" s="6"/>
    </row>
    <row r="6" spans="1:33" ht="15" customHeight="1" x14ac:dyDescent="0.25">
      <c r="A6" s="34">
        <v>6</v>
      </c>
      <c r="B6" s="35" t="s">
        <v>52</v>
      </c>
      <c r="C6" s="35" t="s">
        <v>106</v>
      </c>
      <c r="D6" s="6"/>
      <c r="E6" s="19" t="s">
        <v>105</v>
      </c>
      <c r="F6" s="20"/>
      <c r="G6" s="23">
        <v>1</v>
      </c>
      <c r="H6" s="23">
        <v>1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19">
        <v>1</v>
      </c>
      <c r="V6" s="6"/>
      <c r="W6" s="6"/>
      <c r="X6" s="6"/>
      <c r="Y6" s="6"/>
      <c r="Z6" s="5" t="s">
        <v>107</v>
      </c>
      <c r="AA6" s="7" t="s">
        <v>108</v>
      </c>
      <c r="AB6" s="5" t="s">
        <v>47</v>
      </c>
      <c r="AC6" s="5" t="s">
        <v>51</v>
      </c>
      <c r="AD6" s="5">
        <v>86771</v>
      </c>
      <c r="AE6" s="5" t="s">
        <v>106</v>
      </c>
      <c r="AF6" s="5" t="s">
        <v>109</v>
      </c>
      <c r="AG6" s="6"/>
    </row>
    <row r="7" spans="1:33" ht="15" customHeight="1" x14ac:dyDescent="0.25">
      <c r="A7" s="34">
        <v>6</v>
      </c>
      <c r="B7" s="35" t="s">
        <v>52</v>
      </c>
      <c r="C7" s="35" t="s">
        <v>125</v>
      </c>
      <c r="D7" s="6"/>
      <c r="E7" s="6"/>
      <c r="F7" s="6"/>
      <c r="G7" s="19"/>
      <c r="H7" s="19"/>
      <c r="I7" s="19"/>
      <c r="J7" s="19">
        <v>2</v>
      </c>
      <c r="K7" s="6"/>
      <c r="L7" s="6"/>
      <c r="M7" s="19">
        <v>2</v>
      </c>
      <c r="N7" s="21"/>
      <c r="O7" s="19">
        <v>2</v>
      </c>
      <c r="P7" s="6"/>
      <c r="Q7" s="6"/>
      <c r="R7" s="6"/>
      <c r="S7" s="6"/>
      <c r="T7" s="6"/>
      <c r="U7" s="6"/>
      <c r="V7" s="6"/>
      <c r="W7" s="6"/>
      <c r="X7" s="6"/>
      <c r="Y7" s="6"/>
      <c r="Z7" s="9" t="s">
        <v>126</v>
      </c>
      <c r="AA7" s="10" t="s">
        <v>127</v>
      </c>
      <c r="AB7" s="9" t="s">
        <v>47</v>
      </c>
      <c r="AC7" s="9" t="s">
        <v>51</v>
      </c>
      <c r="AD7" s="9">
        <v>37186</v>
      </c>
      <c r="AE7" s="9" t="s">
        <v>125</v>
      </c>
      <c r="AF7" s="9" t="s">
        <v>128</v>
      </c>
      <c r="AG7" s="6"/>
    </row>
    <row r="8" spans="1:33" ht="15" customHeight="1" x14ac:dyDescent="0.25">
      <c r="A8" s="34">
        <v>6</v>
      </c>
      <c r="B8" s="35" t="s">
        <v>52</v>
      </c>
      <c r="C8" s="35" t="s">
        <v>134</v>
      </c>
      <c r="D8" s="6"/>
      <c r="E8" s="6"/>
      <c r="F8" s="19"/>
      <c r="G8" s="6"/>
      <c r="H8" s="6"/>
      <c r="I8" s="6"/>
      <c r="J8" s="6"/>
      <c r="K8" s="6"/>
      <c r="L8" s="6"/>
      <c r="M8" s="6"/>
      <c r="N8" s="6"/>
      <c r="O8" s="6"/>
      <c r="P8" s="19">
        <v>0</v>
      </c>
      <c r="Q8" s="19">
        <v>1</v>
      </c>
      <c r="R8" s="19">
        <v>1</v>
      </c>
      <c r="S8" s="19">
        <v>2</v>
      </c>
      <c r="T8" s="6"/>
      <c r="U8" s="6"/>
      <c r="V8" s="6"/>
      <c r="W8" s="6"/>
      <c r="X8" s="6"/>
      <c r="Y8" s="6"/>
      <c r="Z8" s="5" t="s">
        <v>135</v>
      </c>
      <c r="AA8" s="7" t="s">
        <v>136</v>
      </c>
      <c r="AB8" s="5" t="s">
        <v>47</v>
      </c>
      <c r="AC8" s="5" t="s">
        <v>51</v>
      </c>
      <c r="AD8" s="19">
        <v>61391</v>
      </c>
      <c r="AE8" s="19" t="s">
        <v>134</v>
      </c>
      <c r="AF8" s="19" t="s">
        <v>137</v>
      </c>
      <c r="AG8" s="19" t="s">
        <v>138</v>
      </c>
    </row>
    <row r="9" spans="1:33" ht="15" customHeight="1" x14ac:dyDescent="0.25">
      <c r="A9" s="34">
        <v>6</v>
      </c>
      <c r="B9" s="35" t="s">
        <v>52</v>
      </c>
      <c r="C9" s="35" t="s">
        <v>140</v>
      </c>
      <c r="D9" s="6"/>
      <c r="E9" s="19" t="s">
        <v>139</v>
      </c>
      <c r="F9" s="9"/>
      <c r="G9" s="6"/>
      <c r="H9" s="23">
        <v>1</v>
      </c>
      <c r="I9" s="23">
        <v>1</v>
      </c>
      <c r="J9" s="6"/>
      <c r="K9" s="6"/>
      <c r="L9" s="6"/>
      <c r="M9" s="19">
        <v>1</v>
      </c>
      <c r="N9" s="6"/>
      <c r="O9" s="6"/>
      <c r="P9" s="19">
        <v>1</v>
      </c>
      <c r="Q9" s="6"/>
      <c r="R9" s="6"/>
      <c r="S9" s="6"/>
      <c r="T9" s="6"/>
      <c r="U9" s="6"/>
      <c r="V9" s="6"/>
      <c r="W9" s="6"/>
      <c r="X9" s="6"/>
      <c r="Y9" s="6"/>
      <c r="Z9" s="9" t="s">
        <v>141</v>
      </c>
      <c r="AA9" s="10" t="s">
        <v>142</v>
      </c>
      <c r="AB9" s="9" t="s">
        <v>143</v>
      </c>
      <c r="AC9" s="9" t="s">
        <v>51</v>
      </c>
      <c r="AD9" s="9">
        <v>43941</v>
      </c>
      <c r="AE9" s="9" t="s">
        <v>140</v>
      </c>
      <c r="AF9" s="9" t="s">
        <v>144</v>
      </c>
      <c r="AG9" s="19" t="s">
        <v>145</v>
      </c>
    </row>
    <row r="10" spans="1:33" ht="15" customHeight="1" x14ac:dyDescent="0.25">
      <c r="A10" s="34">
        <v>6</v>
      </c>
      <c r="B10" s="35" t="s">
        <v>52</v>
      </c>
      <c r="C10" s="35" t="s">
        <v>146</v>
      </c>
      <c r="D10" s="19">
        <v>1</v>
      </c>
      <c r="E10" s="6"/>
      <c r="F10" s="20"/>
      <c r="G10" s="6"/>
      <c r="H10" s="6"/>
      <c r="I10" s="6"/>
      <c r="J10" s="6"/>
      <c r="K10" s="19">
        <v>5</v>
      </c>
      <c r="L10" s="19">
        <v>4</v>
      </c>
      <c r="M10" s="6"/>
      <c r="N10" s="19">
        <v>2</v>
      </c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5" t="s">
        <v>147</v>
      </c>
      <c r="AA10" s="7" t="s">
        <v>148</v>
      </c>
      <c r="AB10" s="5" t="s">
        <v>47</v>
      </c>
      <c r="AC10" s="5" t="s">
        <v>51</v>
      </c>
      <c r="AD10" s="19">
        <v>82540</v>
      </c>
      <c r="AE10" s="5" t="s">
        <v>146</v>
      </c>
      <c r="AF10" s="5" t="s">
        <v>149</v>
      </c>
      <c r="AG10" s="6"/>
    </row>
    <row r="11" spans="1:33" ht="15" customHeight="1" x14ac:dyDescent="0.25">
      <c r="A11" s="34">
        <v>6</v>
      </c>
      <c r="B11" s="35" t="s">
        <v>52</v>
      </c>
      <c r="C11" s="35" t="s">
        <v>157</v>
      </c>
      <c r="D11" s="19"/>
      <c r="E11" s="19" t="s">
        <v>156</v>
      </c>
      <c r="F11" s="6"/>
      <c r="G11" s="22">
        <v>1</v>
      </c>
      <c r="H11" s="19"/>
      <c r="I11" s="22">
        <v>1</v>
      </c>
      <c r="J11" s="19"/>
      <c r="K11" s="6"/>
      <c r="L11" s="19">
        <v>1</v>
      </c>
      <c r="M11" s="6"/>
      <c r="N11" s="6"/>
      <c r="O11" s="19">
        <v>1</v>
      </c>
      <c r="P11" s="6"/>
      <c r="Q11" s="6"/>
      <c r="R11" s="6"/>
      <c r="S11" s="6"/>
      <c r="T11" s="6"/>
      <c r="U11" s="6"/>
      <c r="V11" s="6"/>
      <c r="W11" s="6"/>
      <c r="X11" s="6"/>
      <c r="Y11" s="6"/>
      <c r="Z11" s="9" t="s">
        <v>158</v>
      </c>
      <c r="AA11" s="10" t="s">
        <v>159</v>
      </c>
      <c r="AB11" s="9" t="s">
        <v>39</v>
      </c>
      <c r="AC11" s="9" t="s">
        <v>51</v>
      </c>
      <c r="AD11" s="19">
        <v>33645</v>
      </c>
      <c r="AE11" s="19" t="s">
        <v>157</v>
      </c>
      <c r="AF11" s="19" t="s">
        <v>160</v>
      </c>
      <c r="AG11" s="6"/>
    </row>
    <row r="12" spans="1:33" ht="15" customHeight="1" x14ac:dyDescent="0.25">
      <c r="A12" s="34">
        <v>6</v>
      </c>
      <c r="B12" s="35" t="s">
        <v>52</v>
      </c>
      <c r="C12" s="35" t="s">
        <v>162</v>
      </c>
      <c r="D12" s="6"/>
      <c r="E12" s="19" t="s">
        <v>161</v>
      </c>
      <c r="F12" s="20"/>
      <c r="G12" s="6"/>
      <c r="H12" s="23">
        <v>1</v>
      </c>
      <c r="I12" s="23">
        <v>1</v>
      </c>
      <c r="J12" s="6"/>
      <c r="K12" s="19">
        <v>1</v>
      </c>
      <c r="L12" s="19">
        <v>1</v>
      </c>
      <c r="M12" s="19">
        <v>2</v>
      </c>
      <c r="N12" s="6"/>
      <c r="O12" s="19">
        <v>1</v>
      </c>
      <c r="P12" s="6"/>
      <c r="Q12" s="6"/>
      <c r="R12" s="6"/>
      <c r="S12" s="6"/>
      <c r="T12" s="6"/>
      <c r="U12" s="6"/>
      <c r="V12" s="6"/>
      <c r="W12" s="6"/>
      <c r="X12" s="19"/>
      <c r="Y12" s="19"/>
      <c r="Z12" s="5" t="s">
        <v>163</v>
      </c>
      <c r="AA12" s="7" t="s">
        <v>164</v>
      </c>
      <c r="AB12" s="5" t="s">
        <v>47</v>
      </c>
      <c r="AC12" s="5" t="s">
        <v>51</v>
      </c>
      <c r="AD12" s="5">
        <v>27605</v>
      </c>
      <c r="AE12" s="5" t="s">
        <v>162</v>
      </c>
      <c r="AF12" s="5" t="s">
        <v>165</v>
      </c>
      <c r="AG12" s="20"/>
    </row>
    <row r="13" spans="1:33" ht="15" customHeight="1" x14ac:dyDescent="0.25">
      <c r="A13" s="34">
        <v>6</v>
      </c>
      <c r="B13" s="35" t="s">
        <v>52</v>
      </c>
      <c r="C13" s="35" t="s">
        <v>172</v>
      </c>
      <c r="D13" s="19">
        <v>1</v>
      </c>
      <c r="E13" s="19" t="s">
        <v>171</v>
      </c>
      <c r="F13" s="19" t="s">
        <v>176</v>
      </c>
      <c r="G13" s="23">
        <v>2</v>
      </c>
      <c r="H13" s="6"/>
      <c r="I13" s="6"/>
      <c r="J13" s="6"/>
      <c r="K13" s="19">
        <v>2</v>
      </c>
      <c r="L13" s="6"/>
      <c r="M13" s="6"/>
      <c r="N13" s="6"/>
      <c r="O13" s="19">
        <v>1</v>
      </c>
      <c r="P13" s="6"/>
      <c r="Q13" s="6"/>
      <c r="R13" s="6"/>
      <c r="S13" s="6"/>
      <c r="T13" s="6"/>
      <c r="U13" s="19">
        <v>1</v>
      </c>
      <c r="V13" s="6"/>
      <c r="W13" s="6"/>
      <c r="X13" s="6"/>
      <c r="Y13" s="6"/>
      <c r="Z13" s="9" t="s">
        <v>173</v>
      </c>
      <c r="AA13" s="10" t="s">
        <v>174</v>
      </c>
      <c r="AB13" s="9" t="s">
        <v>47</v>
      </c>
      <c r="AC13" s="9" t="s">
        <v>51</v>
      </c>
      <c r="AD13" s="19">
        <v>23063</v>
      </c>
      <c r="AE13" s="19" t="s">
        <v>172</v>
      </c>
      <c r="AF13" s="19" t="s">
        <v>175</v>
      </c>
      <c r="AG13" s="6"/>
    </row>
    <row r="14" spans="1:33" ht="15" customHeight="1" x14ac:dyDescent="0.25">
      <c r="A14" s="34">
        <v>6</v>
      </c>
      <c r="B14" s="35" t="s">
        <v>52</v>
      </c>
      <c r="C14" s="35" t="s">
        <v>180</v>
      </c>
      <c r="D14" s="6"/>
      <c r="E14" s="6"/>
      <c r="F14" s="20"/>
      <c r="G14" s="19"/>
      <c r="H14" s="19"/>
      <c r="I14" s="19"/>
      <c r="J14" s="19">
        <v>2</v>
      </c>
      <c r="K14" s="6"/>
      <c r="L14" s="6"/>
      <c r="M14" s="6"/>
      <c r="N14" s="6"/>
      <c r="O14" s="6"/>
      <c r="P14" s="6"/>
      <c r="Q14" s="6"/>
      <c r="R14" s="19">
        <v>1</v>
      </c>
      <c r="S14" s="6"/>
      <c r="T14" s="6"/>
      <c r="U14" s="6"/>
      <c r="V14" s="6"/>
      <c r="W14" s="6"/>
      <c r="X14" s="6"/>
      <c r="Y14" s="6"/>
      <c r="Z14" s="5" t="s">
        <v>181</v>
      </c>
      <c r="AA14" s="7" t="s">
        <v>182</v>
      </c>
      <c r="AB14" s="5" t="s">
        <v>47</v>
      </c>
      <c r="AC14" s="5" t="s">
        <v>51</v>
      </c>
      <c r="AD14" s="19">
        <v>38640</v>
      </c>
      <c r="AE14" s="19" t="s">
        <v>180</v>
      </c>
      <c r="AF14" s="19" t="s">
        <v>183</v>
      </c>
      <c r="AG14" s="6"/>
    </row>
    <row r="15" spans="1:33" ht="15" customHeight="1" x14ac:dyDescent="0.25">
      <c r="A15" s="34">
        <v>6</v>
      </c>
      <c r="B15" s="35" t="s">
        <v>52</v>
      </c>
      <c r="C15" s="35" t="s">
        <v>200</v>
      </c>
      <c r="D15" s="6"/>
      <c r="E15" s="6"/>
      <c r="F15" s="6"/>
      <c r="G15" s="19"/>
      <c r="H15" s="19"/>
      <c r="I15" s="19"/>
      <c r="J15" s="19">
        <v>1</v>
      </c>
      <c r="K15" s="6"/>
      <c r="L15" s="6"/>
      <c r="M15" s="6"/>
      <c r="N15" s="6"/>
      <c r="O15" s="19">
        <v>1</v>
      </c>
      <c r="P15" s="6"/>
      <c r="Q15" s="6"/>
      <c r="R15" s="6"/>
      <c r="S15" s="6"/>
      <c r="T15" s="6"/>
      <c r="U15" s="6"/>
      <c r="V15" s="6"/>
      <c r="W15" s="6"/>
      <c r="X15" s="6"/>
      <c r="Y15" s="6"/>
      <c r="Z15" s="9" t="s">
        <v>201</v>
      </c>
      <c r="AA15" s="10" t="s">
        <v>202</v>
      </c>
      <c r="AB15" s="9" t="s">
        <v>47</v>
      </c>
      <c r="AC15" s="9" t="s">
        <v>51</v>
      </c>
      <c r="AD15" s="31" t="s">
        <v>203</v>
      </c>
      <c r="AE15" s="19" t="s">
        <v>200</v>
      </c>
      <c r="AF15" s="19" t="s">
        <v>204</v>
      </c>
      <c r="AG15" s="6"/>
    </row>
    <row r="16" spans="1:33" ht="15" customHeight="1" x14ac:dyDescent="0.25">
      <c r="A16" s="34">
        <v>6</v>
      </c>
      <c r="B16" s="35" t="s">
        <v>52</v>
      </c>
      <c r="C16" s="35" t="s">
        <v>208</v>
      </c>
      <c r="D16" s="6"/>
      <c r="E16" s="6"/>
      <c r="F16" s="6"/>
      <c r="G16" s="6"/>
      <c r="H16" s="6"/>
      <c r="I16" s="6"/>
      <c r="J16" s="6"/>
      <c r="K16" s="6"/>
      <c r="L16" s="6"/>
      <c r="M16" s="19">
        <v>10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5" t="s">
        <v>209</v>
      </c>
      <c r="AA16" s="7" t="s">
        <v>210</v>
      </c>
      <c r="AB16" s="5" t="s">
        <v>47</v>
      </c>
      <c r="AC16" s="5" t="s">
        <v>51</v>
      </c>
      <c r="AD16" s="5">
        <v>13743</v>
      </c>
      <c r="AE16" s="5" t="s">
        <v>208</v>
      </c>
      <c r="AF16" s="5" t="s">
        <v>211</v>
      </c>
      <c r="AG16" s="6"/>
    </row>
    <row r="17" spans="1:33" ht="15" customHeight="1" x14ac:dyDescent="0.25">
      <c r="A17" s="34">
        <v>6</v>
      </c>
      <c r="B17" s="35" t="s">
        <v>52</v>
      </c>
      <c r="C17" s="35" t="s">
        <v>216</v>
      </c>
      <c r="D17" s="19">
        <v>1</v>
      </c>
      <c r="E17" s="6"/>
      <c r="F17" s="6"/>
      <c r="G17" s="6"/>
      <c r="H17" s="6"/>
      <c r="I17" s="6"/>
      <c r="J17" s="6"/>
      <c r="K17" s="6"/>
      <c r="L17" s="19">
        <v>1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9" t="s">
        <v>217</v>
      </c>
      <c r="AA17" s="10" t="s">
        <v>218</v>
      </c>
      <c r="AB17" s="9" t="s">
        <v>39</v>
      </c>
      <c r="AC17" s="9" t="s">
        <v>51</v>
      </c>
      <c r="AD17" s="19">
        <v>29149</v>
      </c>
      <c r="AE17" s="19" t="s">
        <v>216</v>
      </c>
      <c r="AF17" s="19" t="s">
        <v>219</v>
      </c>
      <c r="AG17" s="6"/>
    </row>
    <row r="18" spans="1:33" ht="15" customHeight="1" x14ac:dyDescent="0.25">
      <c r="A18" s="34">
        <v>6</v>
      </c>
      <c r="B18" s="35" t="s">
        <v>52</v>
      </c>
      <c r="C18" s="35" t="s">
        <v>220</v>
      </c>
      <c r="D18" s="19">
        <v>2</v>
      </c>
      <c r="E18" s="6"/>
      <c r="F18" s="6"/>
      <c r="G18" s="6"/>
      <c r="H18" s="6"/>
      <c r="I18" s="6"/>
      <c r="J18" s="6"/>
      <c r="K18" s="19">
        <v>1</v>
      </c>
      <c r="L18" s="6"/>
      <c r="M18" s="19">
        <v>1</v>
      </c>
      <c r="N18" s="6"/>
      <c r="O18" s="19">
        <v>2</v>
      </c>
      <c r="P18" s="6"/>
      <c r="Q18" s="6"/>
      <c r="R18" s="6"/>
      <c r="S18" s="6"/>
      <c r="T18" s="6"/>
      <c r="U18" s="6"/>
      <c r="V18" s="6"/>
      <c r="W18" s="6"/>
      <c r="X18" s="6"/>
      <c r="Y18" s="6"/>
      <c r="Z18" s="5" t="s">
        <v>221</v>
      </c>
      <c r="AA18" s="7" t="s">
        <v>222</v>
      </c>
      <c r="AB18" s="5" t="s">
        <v>47</v>
      </c>
      <c r="AC18" s="5" t="s">
        <v>51</v>
      </c>
      <c r="AD18" s="19">
        <v>33409</v>
      </c>
      <c r="AE18" s="19" t="s">
        <v>223</v>
      </c>
      <c r="AF18" s="19" t="s">
        <v>224</v>
      </c>
      <c r="AG18" s="20"/>
    </row>
    <row r="19" spans="1:33" ht="15" customHeight="1" x14ac:dyDescent="0.25">
      <c r="A19" s="34">
        <v>6</v>
      </c>
      <c r="B19" s="35" t="s">
        <v>52</v>
      </c>
      <c r="C19" s="35" t="s">
        <v>225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9">
        <v>1</v>
      </c>
      <c r="S19" s="6"/>
      <c r="T19" s="6"/>
      <c r="U19" s="6"/>
      <c r="V19" s="6"/>
      <c r="W19" s="6"/>
      <c r="X19" s="6"/>
      <c r="Y19" s="6"/>
      <c r="Z19" s="9" t="s">
        <v>226</v>
      </c>
      <c r="AA19" s="10" t="s">
        <v>227</v>
      </c>
      <c r="AB19" s="9" t="s">
        <v>47</v>
      </c>
      <c r="AC19" s="9" t="s">
        <v>51</v>
      </c>
      <c r="AD19" s="9" t="s">
        <v>228</v>
      </c>
      <c r="AE19" s="9" t="s">
        <v>225</v>
      </c>
      <c r="AF19" s="9" t="s">
        <v>229</v>
      </c>
      <c r="AG19" s="21"/>
    </row>
    <row r="20" spans="1:33" ht="15" customHeight="1" x14ac:dyDescent="0.25">
      <c r="A20" s="34">
        <v>6</v>
      </c>
      <c r="B20" s="35" t="s">
        <v>52</v>
      </c>
      <c r="C20" s="35" t="s">
        <v>225</v>
      </c>
      <c r="D20" s="6"/>
      <c r="E20" s="6"/>
      <c r="F20" s="19" t="s">
        <v>230</v>
      </c>
      <c r="G20" s="23">
        <v>1</v>
      </c>
      <c r="H20" s="23">
        <v>1</v>
      </c>
      <c r="I20" s="6"/>
      <c r="J20" s="6"/>
      <c r="K20" s="6"/>
      <c r="L20" s="19">
        <v>1</v>
      </c>
      <c r="M20" s="6"/>
      <c r="N20" s="6"/>
      <c r="O20" s="6"/>
      <c r="P20" s="6"/>
      <c r="Q20" s="6"/>
      <c r="R20" s="19">
        <v>1</v>
      </c>
      <c r="S20" s="6"/>
      <c r="T20" s="6"/>
      <c r="U20" s="6"/>
      <c r="V20" s="6"/>
      <c r="W20" s="6"/>
      <c r="X20" s="6"/>
      <c r="Y20" s="6"/>
      <c r="Z20" s="5" t="s">
        <v>226</v>
      </c>
      <c r="AA20" s="7" t="s">
        <v>227</v>
      </c>
      <c r="AB20" s="5" t="s">
        <v>47</v>
      </c>
      <c r="AC20" s="5" t="s">
        <v>51</v>
      </c>
      <c r="AD20" s="5" t="s">
        <v>228</v>
      </c>
      <c r="AE20" s="19" t="s">
        <v>225</v>
      </c>
      <c r="AF20" s="19" t="s">
        <v>229</v>
      </c>
      <c r="AG20" s="20"/>
    </row>
    <row r="21" spans="1:33" ht="15" customHeight="1" x14ac:dyDescent="0.25">
      <c r="A21" s="34">
        <v>6</v>
      </c>
      <c r="B21" s="35" t="s">
        <v>52</v>
      </c>
      <c r="C21" s="35" t="s">
        <v>231</v>
      </c>
      <c r="D21" s="19">
        <v>1</v>
      </c>
      <c r="E21" s="6"/>
      <c r="F21" s="6"/>
      <c r="G21" s="6"/>
      <c r="H21" s="6"/>
      <c r="I21" s="6"/>
      <c r="J21" s="6"/>
      <c r="K21" s="6"/>
      <c r="L21" s="19">
        <v>1</v>
      </c>
      <c r="M21" s="6"/>
      <c r="N21" s="19">
        <v>1</v>
      </c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9" t="s">
        <v>232</v>
      </c>
      <c r="AA21" s="10" t="s">
        <v>233</v>
      </c>
      <c r="AB21" s="9" t="s">
        <v>47</v>
      </c>
      <c r="AC21" s="9" t="s">
        <v>51</v>
      </c>
      <c r="AD21" s="9">
        <v>20536</v>
      </c>
      <c r="AE21" s="9" t="s">
        <v>231</v>
      </c>
      <c r="AF21" s="9" t="s">
        <v>234</v>
      </c>
      <c r="AG21" s="6"/>
    </row>
    <row r="22" spans="1:33" ht="15" customHeight="1" x14ac:dyDescent="0.25">
      <c r="A22" s="34">
        <v>6</v>
      </c>
      <c r="B22" s="35" t="s">
        <v>52</v>
      </c>
      <c r="C22" s="35" t="s">
        <v>238</v>
      </c>
      <c r="D22" s="6"/>
      <c r="E22" s="19">
        <v>2</v>
      </c>
      <c r="F22" s="19" t="s">
        <v>244</v>
      </c>
      <c r="G22" s="22">
        <v>1</v>
      </c>
      <c r="H22" s="22">
        <v>1</v>
      </c>
      <c r="I22" s="19"/>
      <c r="J22" s="19">
        <v>1</v>
      </c>
      <c r="K22" s="19">
        <v>2</v>
      </c>
      <c r="L22" s="6"/>
      <c r="M22" s="19">
        <v>1</v>
      </c>
      <c r="N22" s="6"/>
      <c r="O22" s="19">
        <v>2</v>
      </c>
      <c r="P22" s="6"/>
      <c r="Q22" s="19">
        <v>1</v>
      </c>
      <c r="R22" s="6"/>
      <c r="S22" s="6"/>
      <c r="T22" s="6"/>
      <c r="U22" s="6"/>
      <c r="V22" s="6"/>
      <c r="W22" s="6"/>
      <c r="X22" s="6"/>
      <c r="Y22" s="6"/>
      <c r="Z22" s="5" t="s">
        <v>239</v>
      </c>
      <c r="AA22" s="7" t="s">
        <v>240</v>
      </c>
      <c r="AB22" s="5" t="s">
        <v>65</v>
      </c>
      <c r="AC22" s="5" t="s">
        <v>51</v>
      </c>
      <c r="AD22" s="7" t="s">
        <v>241</v>
      </c>
      <c r="AE22" s="5" t="s">
        <v>242</v>
      </c>
      <c r="AF22" s="5" t="s">
        <v>243</v>
      </c>
      <c r="AG22" s="6"/>
    </row>
    <row r="23" spans="1:33" ht="15" customHeight="1" x14ac:dyDescent="0.25">
      <c r="A23" s="34">
        <v>6</v>
      </c>
      <c r="B23" s="35" t="s">
        <v>52</v>
      </c>
      <c r="C23" s="35" t="s">
        <v>245</v>
      </c>
      <c r="D23" s="6"/>
      <c r="E23" s="19">
        <v>1</v>
      </c>
      <c r="F23" s="19" t="s">
        <v>249</v>
      </c>
      <c r="G23" s="19"/>
      <c r="H23" s="22">
        <v>2</v>
      </c>
      <c r="I23" s="19"/>
      <c r="J23" s="19">
        <v>1</v>
      </c>
      <c r="K23" s="19">
        <v>1</v>
      </c>
      <c r="L23" s="6"/>
      <c r="M23" s="19">
        <v>3</v>
      </c>
      <c r="N23" s="21"/>
      <c r="O23" s="19">
        <v>1</v>
      </c>
      <c r="P23" s="19">
        <v>1</v>
      </c>
      <c r="Q23" s="6"/>
      <c r="R23" s="6"/>
      <c r="S23" s="6"/>
      <c r="T23" s="6"/>
      <c r="U23" s="6"/>
      <c r="V23" s="6"/>
      <c r="W23" s="6"/>
      <c r="X23" s="6"/>
      <c r="Y23" s="6"/>
      <c r="Z23" s="9" t="s">
        <v>246</v>
      </c>
      <c r="AA23" s="10" t="s">
        <v>247</v>
      </c>
      <c r="AB23" s="9" t="s">
        <v>47</v>
      </c>
      <c r="AC23" s="9" t="s">
        <v>40</v>
      </c>
      <c r="AD23" s="6"/>
      <c r="AE23" s="19" t="s">
        <v>245</v>
      </c>
      <c r="AF23" s="19" t="s">
        <v>248</v>
      </c>
      <c r="AG23" s="6"/>
    </row>
    <row r="24" spans="1:33" ht="15" customHeight="1" x14ac:dyDescent="0.25">
      <c r="A24" s="34">
        <v>6</v>
      </c>
      <c r="B24" s="35" t="s">
        <v>52</v>
      </c>
      <c r="C24" s="35" t="s">
        <v>253</v>
      </c>
      <c r="D24" s="6"/>
      <c r="E24" s="19">
        <v>7</v>
      </c>
      <c r="F24" s="5" t="s">
        <v>258</v>
      </c>
      <c r="G24" s="23">
        <v>7</v>
      </c>
      <c r="H24" s="23">
        <v>7</v>
      </c>
      <c r="I24" s="6"/>
      <c r="J24" s="6"/>
      <c r="K24" s="6"/>
      <c r="L24" s="6"/>
      <c r="M24" s="19">
        <v>7</v>
      </c>
      <c r="N24" s="6"/>
      <c r="O24" s="6"/>
      <c r="P24" s="19">
        <v>7</v>
      </c>
      <c r="Q24" s="6"/>
      <c r="R24" s="6"/>
      <c r="S24" s="6"/>
      <c r="T24" s="19">
        <v>7</v>
      </c>
      <c r="U24" s="6"/>
      <c r="V24" s="6"/>
      <c r="W24" s="6"/>
      <c r="X24" s="6"/>
      <c r="Y24" s="6"/>
      <c r="Z24" s="5" t="s">
        <v>254</v>
      </c>
      <c r="AA24" s="7" t="s">
        <v>255</v>
      </c>
      <c r="AB24" s="5" t="s">
        <v>143</v>
      </c>
      <c r="AC24" s="5" t="s">
        <v>51</v>
      </c>
      <c r="AD24" s="19">
        <v>52817</v>
      </c>
      <c r="AE24" s="19" t="s">
        <v>253</v>
      </c>
      <c r="AF24" s="19" t="s">
        <v>256</v>
      </c>
      <c r="AG24" s="19" t="s">
        <v>344</v>
      </c>
    </row>
    <row r="25" spans="1:33" ht="12.5" x14ac:dyDescent="0.25">
      <c r="A25" s="34">
        <v>6</v>
      </c>
      <c r="B25" s="35" t="s">
        <v>52</v>
      </c>
      <c r="C25" s="35" t="s">
        <v>269</v>
      </c>
      <c r="D25" s="6"/>
      <c r="E25" s="6"/>
      <c r="F25" s="6"/>
      <c r="G25" s="6"/>
      <c r="H25" s="6"/>
      <c r="I25" s="6"/>
      <c r="J25" s="6"/>
      <c r="K25" s="19">
        <v>1</v>
      </c>
      <c r="L25" s="6"/>
      <c r="M25" s="19">
        <v>1</v>
      </c>
      <c r="N25" s="6"/>
      <c r="O25" s="6"/>
      <c r="P25" s="19">
        <v>1</v>
      </c>
      <c r="Q25" s="19">
        <v>1</v>
      </c>
      <c r="R25" s="6"/>
      <c r="S25" s="6"/>
      <c r="T25" s="6"/>
      <c r="U25" s="6"/>
      <c r="V25" s="6"/>
      <c r="W25" s="6"/>
      <c r="X25" s="6"/>
      <c r="Y25" s="6"/>
      <c r="Z25" s="64" t="s">
        <v>341</v>
      </c>
      <c r="AA25" s="10" t="s">
        <v>342</v>
      </c>
      <c r="AB25" s="9" t="s">
        <v>47</v>
      </c>
      <c r="AC25" s="9" t="s">
        <v>51</v>
      </c>
      <c r="AD25" s="9">
        <v>66456</v>
      </c>
      <c r="AE25" s="19" t="s">
        <v>269</v>
      </c>
      <c r="AF25" s="19" t="s">
        <v>272</v>
      </c>
      <c r="AG25" s="6"/>
    </row>
    <row r="26" spans="1:33" ht="13.5" x14ac:dyDescent="0.25">
      <c r="A26" s="34">
        <v>6</v>
      </c>
      <c r="B26" s="35" t="s">
        <v>52</v>
      </c>
      <c r="C26" s="35" t="s">
        <v>279</v>
      </c>
      <c r="D26" s="19">
        <v>2</v>
      </c>
      <c r="E26" s="6"/>
      <c r="F26" s="6"/>
      <c r="G26" s="6"/>
      <c r="H26" s="6"/>
      <c r="I26" s="6"/>
      <c r="J26" s="6"/>
      <c r="K26" s="19">
        <v>1</v>
      </c>
      <c r="L26" s="19">
        <v>1</v>
      </c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5" t="s">
        <v>280</v>
      </c>
      <c r="AA26" s="7" t="s">
        <v>281</v>
      </c>
      <c r="AB26" s="5" t="s">
        <v>47</v>
      </c>
      <c r="AC26" s="5" t="s">
        <v>51</v>
      </c>
      <c r="AD26" s="19">
        <v>85105</v>
      </c>
      <c r="AE26" s="19" t="s">
        <v>279</v>
      </c>
      <c r="AF26" s="19" t="s">
        <v>282</v>
      </c>
      <c r="AG26" s="65" t="s">
        <v>343</v>
      </c>
    </row>
    <row r="27" spans="1:33" ht="12.5" x14ac:dyDescent="0.25">
      <c r="A27" s="34">
        <v>6</v>
      </c>
      <c r="B27" s="35" t="s">
        <v>52</v>
      </c>
      <c r="C27" s="35" t="s">
        <v>289</v>
      </c>
      <c r="D27" s="19">
        <v>5</v>
      </c>
      <c r="E27" s="6"/>
      <c r="F27" s="6"/>
      <c r="G27" s="6"/>
      <c r="H27" s="6"/>
      <c r="I27" s="6"/>
      <c r="J27" s="6"/>
      <c r="K27" s="6"/>
      <c r="L27" s="6"/>
      <c r="M27" s="19">
        <v>5</v>
      </c>
      <c r="N27" s="6"/>
      <c r="O27" s="19">
        <v>3</v>
      </c>
      <c r="P27" s="6"/>
      <c r="Q27" s="6"/>
      <c r="R27" s="6"/>
      <c r="S27" s="6"/>
      <c r="T27" s="6"/>
      <c r="U27" s="6"/>
      <c r="V27" s="6"/>
      <c r="W27" s="6"/>
      <c r="X27" s="6"/>
      <c r="Y27" s="6"/>
      <c r="Z27" s="9" t="s">
        <v>290</v>
      </c>
      <c r="AA27" s="10" t="s">
        <v>291</v>
      </c>
      <c r="AB27" s="9" t="s">
        <v>47</v>
      </c>
      <c r="AC27" s="9" t="s">
        <v>51</v>
      </c>
      <c r="AD27" s="9">
        <v>49542</v>
      </c>
      <c r="AE27" s="19" t="s">
        <v>289</v>
      </c>
      <c r="AF27" s="19" t="s">
        <v>292</v>
      </c>
      <c r="AG27" s="21"/>
    </row>
    <row r="28" spans="1:33" ht="12.5" x14ac:dyDescent="0.25">
      <c r="A28" s="34">
        <v>6</v>
      </c>
      <c r="B28" s="35" t="s">
        <v>52</v>
      </c>
      <c r="C28" s="35" t="s">
        <v>293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19">
        <v>2</v>
      </c>
      <c r="V28" s="6"/>
      <c r="W28" s="19">
        <v>1</v>
      </c>
      <c r="X28" s="6"/>
      <c r="Y28" s="6"/>
      <c r="Z28" s="12" t="s">
        <v>294</v>
      </c>
      <c r="AA28" s="13" t="s">
        <v>295</v>
      </c>
      <c r="AB28" s="12" t="s">
        <v>39</v>
      </c>
      <c r="AC28" s="12" t="s">
        <v>51</v>
      </c>
      <c r="AD28" s="19">
        <v>78714</v>
      </c>
      <c r="AE28" s="19" t="s">
        <v>293</v>
      </c>
      <c r="AF28" s="19" t="s">
        <v>296</v>
      </c>
      <c r="AG28" s="6"/>
    </row>
  </sheetData>
  <phoneticPr fontId="6" type="noConversion"/>
  <hyperlinks>
    <hyperlink ref="Z25" r:id="rId1"/>
  </hyperlinks>
  <pageMargins left="0.7" right="0.7" top="0.75" bottom="0.75" header="0.3" footer="0.3"/>
  <pageSetup paperSize="9" orientation="portrait" horizontalDpi="4294967292" verticalDpi="1200" r:id="rId2"/>
  <tableParts count="2"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G5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" customHeight="1" x14ac:dyDescent="0.25"/>
  <sheetData>
    <row r="1" spans="1:33" ht="15" customHeight="1" x14ac:dyDescent="0.25">
      <c r="A1" s="14">
        <v>0</v>
      </c>
      <c r="B1" s="15" t="s">
        <v>25</v>
      </c>
      <c r="C1" s="15" t="s">
        <v>19</v>
      </c>
      <c r="D1" s="15" t="s">
        <v>2</v>
      </c>
      <c r="E1" s="15" t="s">
        <v>3</v>
      </c>
      <c r="F1" s="16" t="s">
        <v>31</v>
      </c>
      <c r="G1" s="14" t="s">
        <v>311</v>
      </c>
      <c r="H1" s="14" t="s">
        <v>312</v>
      </c>
      <c r="I1" s="14" t="s">
        <v>313</v>
      </c>
      <c r="J1" s="15" t="s">
        <v>4</v>
      </c>
      <c r="K1" s="15" t="s">
        <v>6</v>
      </c>
      <c r="L1" s="15" t="s">
        <v>7</v>
      </c>
      <c r="M1" s="15" t="s">
        <v>8</v>
      </c>
      <c r="N1" s="16" t="s">
        <v>28</v>
      </c>
      <c r="O1" s="14" t="s">
        <v>314</v>
      </c>
      <c r="P1" s="14" t="s">
        <v>315</v>
      </c>
      <c r="Q1" s="15" t="s">
        <v>11</v>
      </c>
      <c r="R1" s="15" t="s">
        <v>12</v>
      </c>
      <c r="S1" s="15" t="s">
        <v>13</v>
      </c>
      <c r="T1" s="15" t="s">
        <v>14</v>
      </c>
      <c r="U1" s="15" t="s">
        <v>15</v>
      </c>
      <c r="V1" s="15" t="s">
        <v>16</v>
      </c>
      <c r="W1" s="15" t="s">
        <v>17</v>
      </c>
      <c r="X1" s="15" t="s">
        <v>18</v>
      </c>
      <c r="Y1" s="16" t="s">
        <v>29</v>
      </c>
      <c r="Z1" s="16" t="s">
        <v>20</v>
      </c>
      <c r="AA1" s="16" t="s">
        <v>21</v>
      </c>
      <c r="AB1" s="16" t="s">
        <v>22</v>
      </c>
      <c r="AC1" s="16" t="s">
        <v>23</v>
      </c>
      <c r="AD1" s="16" t="s">
        <v>24</v>
      </c>
      <c r="AE1" s="16" t="s">
        <v>26</v>
      </c>
      <c r="AF1" s="16" t="s">
        <v>27</v>
      </c>
      <c r="AG1" s="16" t="s">
        <v>30</v>
      </c>
    </row>
    <row r="2" spans="1:33" ht="15" customHeight="1" x14ac:dyDescent="0.25">
      <c r="A2" s="34">
        <v>6</v>
      </c>
      <c r="B2" s="35" t="s">
        <v>52</v>
      </c>
      <c r="C2" s="35" t="s">
        <v>225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19">
        <v>1</v>
      </c>
      <c r="S2" s="6"/>
      <c r="T2" s="6"/>
      <c r="U2" s="6"/>
      <c r="V2" s="6"/>
      <c r="W2" s="6"/>
      <c r="X2" s="6"/>
      <c r="Y2" s="6"/>
      <c r="Z2" s="9" t="s">
        <v>226</v>
      </c>
      <c r="AA2" s="10" t="s">
        <v>227</v>
      </c>
      <c r="AB2" s="9" t="s">
        <v>47</v>
      </c>
      <c r="AC2" s="9" t="s">
        <v>51</v>
      </c>
      <c r="AD2" s="9" t="s">
        <v>228</v>
      </c>
      <c r="AE2" s="9" t="s">
        <v>225</v>
      </c>
      <c r="AF2" s="9" t="s">
        <v>229</v>
      </c>
      <c r="AG2" s="21"/>
    </row>
    <row r="3" spans="1:33" ht="15" customHeight="1" x14ac:dyDescent="0.25">
      <c r="A3" s="34">
        <v>6</v>
      </c>
      <c r="B3" s="35" t="s">
        <v>52</v>
      </c>
      <c r="C3" s="35" t="s">
        <v>225</v>
      </c>
      <c r="D3" s="6"/>
      <c r="E3" s="23">
        <v>1</v>
      </c>
      <c r="F3" s="19" t="s">
        <v>230</v>
      </c>
      <c r="G3" s="23">
        <v>1</v>
      </c>
      <c r="H3" s="23">
        <v>1</v>
      </c>
      <c r="I3" s="6"/>
      <c r="J3" s="6"/>
      <c r="K3" s="6"/>
      <c r="L3" s="19">
        <v>1</v>
      </c>
      <c r="M3" s="6"/>
      <c r="N3" s="6"/>
      <c r="O3" s="6"/>
      <c r="P3" s="6"/>
      <c r="Q3" s="6"/>
      <c r="R3" s="19">
        <v>1</v>
      </c>
      <c r="S3" s="6"/>
      <c r="T3" s="6"/>
      <c r="U3" s="6"/>
      <c r="V3" s="6"/>
      <c r="W3" s="6"/>
      <c r="X3" s="6"/>
      <c r="Y3" s="6"/>
      <c r="Z3" s="5" t="s">
        <v>226</v>
      </c>
      <c r="AA3" s="7" t="s">
        <v>227</v>
      </c>
      <c r="AB3" s="5" t="s">
        <v>47</v>
      </c>
      <c r="AC3" s="5" t="s">
        <v>51</v>
      </c>
      <c r="AD3" s="5" t="s">
        <v>228</v>
      </c>
      <c r="AE3" s="19" t="s">
        <v>225</v>
      </c>
      <c r="AF3" s="19" t="s">
        <v>229</v>
      </c>
      <c r="AG3" s="20"/>
    </row>
    <row r="4" spans="1:33" ht="15" customHeight="1" x14ac:dyDescent="0.25">
      <c r="A4" s="29">
        <v>3</v>
      </c>
      <c r="B4" s="30" t="s">
        <v>41</v>
      </c>
      <c r="C4" s="30" t="s">
        <v>102</v>
      </c>
      <c r="D4" s="19">
        <v>1</v>
      </c>
      <c r="E4" s="6"/>
      <c r="F4" s="6"/>
      <c r="G4" s="19"/>
      <c r="H4" s="22"/>
      <c r="I4" s="22"/>
      <c r="J4" s="19">
        <v>1</v>
      </c>
      <c r="K4" s="6"/>
      <c r="L4" s="6"/>
      <c r="M4" s="6"/>
      <c r="N4" s="21"/>
      <c r="O4" s="6"/>
      <c r="P4" s="19">
        <v>2</v>
      </c>
      <c r="Q4" s="6"/>
      <c r="R4" s="6"/>
      <c r="S4" s="6"/>
      <c r="T4" s="6"/>
      <c r="U4" s="6"/>
      <c r="V4" s="6"/>
      <c r="W4" s="6"/>
      <c r="X4" s="19">
        <v>1</v>
      </c>
      <c r="Y4" s="6"/>
      <c r="Z4" s="9" t="s">
        <v>103</v>
      </c>
      <c r="AA4" s="10" t="s">
        <v>104</v>
      </c>
      <c r="AB4" s="9" t="s">
        <v>47</v>
      </c>
      <c r="AC4" s="9" t="s">
        <v>51</v>
      </c>
      <c r="AD4" s="9">
        <v>40236</v>
      </c>
      <c r="AE4" s="21"/>
      <c r="AF4" s="21"/>
      <c r="AG4" s="6"/>
    </row>
    <row r="5" spans="1:33" ht="15" customHeight="1" x14ac:dyDescent="0.25">
      <c r="A5" s="29">
        <v>3</v>
      </c>
      <c r="B5" s="30" t="s">
        <v>41</v>
      </c>
      <c r="C5" s="30" t="s">
        <v>102</v>
      </c>
      <c r="D5" s="6"/>
      <c r="E5" s="6"/>
      <c r="F5" s="19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5">
        <v>5</v>
      </c>
      <c r="Z5" s="5" t="s">
        <v>103</v>
      </c>
      <c r="AA5" s="7" t="s">
        <v>104</v>
      </c>
      <c r="AB5" s="5" t="s">
        <v>47</v>
      </c>
      <c r="AC5" s="5" t="s">
        <v>51</v>
      </c>
      <c r="AD5" s="19">
        <v>40236</v>
      </c>
      <c r="AE5" s="6"/>
      <c r="AF5" s="6"/>
      <c r="AG5" s="19"/>
    </row>
  </sheetData>
  <phoneticPr fontId="6" type="noConversion"/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表單回應 1</vt:lpstr>
      <vt:lpstr>工作檔</vt:lpstr>
      <vt:lpstr>暨大自取</vt:lpstr>
      <vt:lpstr>曉雯老師面交</vt:lpstr>
      <vt:lpstr>小川自取</vt:lpstr>
      <vt:lpstr>郵寄</vt:lpstr>
      <vt:lpstr>待確認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余曉雯</cp:lastModifiedBy>
  <dcterms:modified xsi:type="dcterms:W3CDTF">2025-04-27T08:31:34Z</dcterms:modified>
</cp:coreProperties>
</file>