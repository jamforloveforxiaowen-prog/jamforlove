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小文文\募資\訂單\2022\"/>
    </mc:Choice>
  </mc:AlternateContent>
  <bookViews>
    <workbookView xWindow="0" yWindow="0" windowWidth="14380" windowHeight="4130"/>
  </bookViews>
  <sheets>
    <sheet name="表單回應 1" sheetId="1" r:id="rId1"/>
  </sheets>
  <calcPr calcId="162913"/>
</workbook>
</file>

<file path=xl/calcChain.xml><?xml version="1.0" encoding="utf-8"?>
<calcChain xmlns="http://schemas.openxmlformats.org/spreadsheetml/2006/main">
  <c r="C55" i="1" l="1"/>
  <c r="D55" i="1"/>
  <c r="E55" i="1"/>
  <c r="F55" i="1"/>
</calcChain>
</file>

<file path=xl/sharedStrings.xml><?xml version="1.0" encoding="utf-8"?>
<sst xmlns="http://schemas.openxmlformats.org/spreadsheetml/2006/main" count="440" uniqueCount="218">
  <si>
    <t>選擇購買</t>
  </si>
  <si>
    <t>1 號:黃金茭白筍＋奇亞籽桑椹 （110 ml）</t>
  </si>
  <si>
    <t>2 號:黃金茭白筍＋山楂梅桑椹 （110 ml）</t>
  </si>
  <si>
    <t>3 號:2種桑葚醬（110ml/罐）＋2塊手工皂</t>
  </si>
  <si>
    <t xml:space="preserve">4 號 :4 塊手工皂 </t>
  </si>
  <si>
    <t>需其他組合數量，請在此填寫(X號/X份)，若無可跳過</t>
  </si>
  <si>
    <t>桑葚奇亞籽果醬</t>
  </si>
  <si>
    <t>山楂梅桑葚醬</t>
  </si>
  <si>
    <t xml:space="preserve">[加購] 百香果果醬（100元/瓶）（限量） </t>
  </si>
  <si>
    <t>[加購] 高山茶茶包（50元/12包一組）（限量）</t>
  </si>
  <si>
    <t xml:space="preserve">[加購] 樹葡萄藍莓（100元/瓶）（限量:剩2瓶） </t>
  </si>
  <si>
    <t>[加購] 香辣香菇醬（150元/罐）（限量）</t>
  </si>
  <si>
    <t>是否需要附贈母親節卡或感恩卡？(購買一組即隨機贈送節日小卡一張）</t>
  </si>
  <si>
    <t>手工皂(150元/塊)</t>
  </si>
  <si>
    <t>桑葚奇亞籽果醬(150元/110ml)</t>
  </si>
  <si>
    <t>山楂梅桑葚果醬(150元/110ml)</t>
  </si>
  <si>
    <t>香辣香菇醬(200元/200ml)</t>
  </si>
  <si>
    <t>黃金茭白筍(350元/550ml)</t>
  </si>
  <si>
    <t>您的姓名</t>
  </si>
  <si>
    <t>電子郵件地址(請一定要填，否則會收不到確認郵件。此外要填寫正確且是有在使用的帳號哦)</t>
  </si>
  <si>
    <t>連絡電話</t>
  </si>
  <si>
    <t>是否曾購買2021 Jam for Love 產品/曾為Jam for Love 成員?(可享9折優惠!)</t>
  </si>
  <si>
    <t>付款方式</t>
  </si>
  <si>
    <t>如果使用匯款交易，請填寫帳號後5碼 (僅提供我們作為核對用途)</t>
  </si>
  <si>
    <t>取貨方式</t>
  </si>
  <si>
    <t>郵遞區號、縣市、區域請填寫清楚!</t>
  </si>
  <si>
    <t/>
  </si>
  <si>
    <t>組合(仍可加購單品)</t>
  </si>
  <si>
    <t>黃淑絹</t>
  </si>
  <si>
    <t>johson55huang@gmail.com</t>
  </si>
  <si>
    <t>0921886165</t>
  </si>
  <si>
    <t>是</t>
  </si>
  <si>
    <t>匯款交易</t>
  </si>
  <si>
    <t>宜蘭曉雯老師面交</t>
  </si>
  <si>
    <t>宜蘭縣羅東鎮愛國路87號</t>
  </si>
  <si>
    <t>母親節卡</t>
  </si>
  <si>
    <t>周君芳</t>
  </si>
  <si>
    <t>cfchou@mail.ncnu.edu.tw</t>
  </si>
  <si>
    <t>0955224863</t>
  </si>
  <si>
    <t>現金交易</t>
  </si>
  <si>
    <t>暨大人文學院國比系辦(5/4、5/5)</t>
  </si>
  <si>
    <t>李金蓮</t>
  </si>
  <si>
    <t>lotus587444@gmail.com</t>
  </si>
  <si>
    <t>0952934212</t>
  </si>
  <si>
    <t>郵寄到家（ 未滿$1000運費70；郵寄同一地址訂購$1000以上免運費）</t>
  </si>
  <si>
    <t>23654新北市土城區青雲路587巷44號4樓</t>
  </si>
  <si>
    <t>陳怡廷</t>
  </si>
  <si>
    <t>et00064@gmail.com</t>
  </si>
  <si>
    <t>0928987532</t>
  </si>
  <si>
    <t>540南投縣南投市營中路237巷38號</t>
  </si>
  <si>
    <t>呂佳蓉</t>
  </si>
  <si>
    <t>chiarung@gmail.com</t>
  </si>
  <si>
    <t>0987049855</t>
  </si>
  <si>
    <t>台大曉雯老師面交</t>
  </si>
  <si>
    <t>台大語言所(可以面交)</t>
  </si>
  <si>
    <t>方思評</t>
  </si>
  <si>
    <t>sihping.fang@gmail.com</t>
  </si>
  <si>
    <t>0912408175</t>
  </si>
  <si>
    <t>台大曉雯老師面交，感謝：-）</t>
  </si>
  <si>
    <t>感恩卡4</t>
  </si>
  <si>
    <t>孫瑞群</t>
  </si>
  <si>
    <t>sunjuichun0203@gmail.com</t>
  </si>
  <si>
    <t>0935800530</t>
  </si>
  <si>
    <t>新北市新店區大同街十三號二樓231</t>
  </si>
  <si>
    <t>陳仙婷</t>
  </si>
  <si>
    <t>98520057ot@gmail.com</t>
  </si>
  <si>
    <t>0975018289</t>
  </si>
  <si>
    <t>感恩卡2</t>
  </si>
  <si>
    <t>簡秀苑</t>
  </si>
  <si>
    <t>a0987200387@gmail.com</t>
  </si>
  <si>
    <t>0987200388</t>
  </si>
  <si>
    <t>540003南投巿光華里光華四路二號</t>
  </si>
  <si>
    <t>邱振豪</t>
  </si>
  <si>
    <t>newchuckie@gmail.com</t>
  </si>
  <si>
    <t>0937140306</t>
  </si>
  <si>
    <t>單品(將直接前往單品選項)</t>
  </si>
  <si>
    <t>鄭以萱</t>
  </si>
  <si>
    <t>ihcheng@ncnu.edu.tw</t>
  </si>
  <si>
    <t>0988285830</t>
  </si>
  <si>
    <t>兩種都要</t>
  </si>
  <si>
    <t>李宜雅</t>
  </si>
  <si>
    <t>nt610510@gmail.com</t>
  </si>
  <si>
    <t>0921664192</t>
  </si>
  <si>
    <t>南投縣南投市中興新村光華四路2號</t>
  </si>
  <si>
    <t>洪小萍</t>
  </si>
  <si>
    <t>hphung.taiwan@gmail.com</t>
  </si>
  <si>
    <t>0926195866</t>
  </si>
  <si>
    <t>埔里小川商店(南投縣埔里鎮北環路246號巷 28 號)</t>
  </si>
  <si>
    <t>張瑞娟</t>
  </si>
  <si>
    <t>jcchang0330@gmail.com</t>
  </si>
  <si>
    <t>0911105897</t>
  </si>
  <si>
    <t>402002台中市南區台中路556號2樓</t>
  </si>
  <si>
    <t>感恩卡</t>
  </si>
  <si>
    <t>張玉茹</t>
  </si>
  <si>
    <t>yjchang@mail.ncnu.edu.tw</t>
  </si>
  <si>
    <t>0932620260</t>
  </si>
  <si>
    <t>黃千</t>
  </si>
  <si>
    <t>mimimia2012@gmail.com</t>
  </si>
  <si>
    <t>0922785673</t>
  </si>
  <si>
    <t>否</t>
  </si>
  <si>
    <t>黃宇辰</t>
  </si>
  <si>
    <t>yuchenhuang@ncnu.edu.tw</t>
  </si>
  <si>
    <t>0988730530</t>
  </si>
  <si>
    <t>顧玉玲</t>
  </si>
  <si>
    <t>yulingku@gmail.com</t>
  </si>
  <si>
    <t>0933169516</t>
  </si>
  <si>
    <t>桃園市八德區長興路103號15樓／4/30與余曉雯當面交錢拿貨^^</t>
  </si>
  <si>
    <t>330 桃園市桃園區中原路21號-4號5樓 侯莉珠收</t>
  </si>
  <si>
    <t>沈明錦</t>
  </si>
  <si>
    <t>anna9099@gmail.com</t>
  </si>
  <si>
    <t>0921349227</t>
  </si>
  <si>
    <t>南投縣草屯鎮敦和里信義街139號8樓之1</t>
  </si>
  <si>
    <t>王燕翎</t>
  </si>
  <si>
    <t>yenlin503y@yahoo.com.tw</t>
  </si>
  <si>
    <t>0972286701</t>
  </si>
  <si>
    <t>黃小妶</t>
  </si>
  <si>
    <t>kanghui1004@gmail.com</t>
  </si>
  <si>
    <t>0921218634</t>
  </si>
  <si>
    <t>244新北市林口區民權路202號4樓</t>
  </si>
  <si>
    <t>林穅慧</t>
  </si>
  <si>
    <t>710台南市永康區蔦松里蔦松一街182號</t>
  </si>
  <si>
    <t>楊雅甯</t>
  </si>
  <si>
    <t>yangyaning1166@gmail.com</t>
  </si>
  <si>
    <t>0932964037</t>
  </si>
  <si>
    <t>楊穗鳳</t>
  </si>
  <si>
    <t>monofisch@gmail.com</t>
  </si>
  <si>
    <t>0922816212</t>
  </si>
  <si>
    <t>林佳蓉</t>
  </si>
  <si>
    <t>myraoboe310@gmail.com</t>
  </si>
  <si>
    <t>0966936356</t>
  </si>
  <si>
    <t>郭淑環</t>
  </si>
  <si>
    <t>ilong@apps.ghes.ntpc.edu.tw</t>
  </si>
  <si>
    <t>0922679867</t>
  </si>
  <si>
    <t>新北市新莊區新北大道七段738號11樓</t>
  </si>
  <si>
    <t>高滇玲</t>
  </si>
  <si>
    <t>kao.ashley@gmail.com</t>
  </si>
  <si>
    <t>0979527857</t>
  </si>
  <si>
    <t>蔡宜容</t>
  </si>
  <si>
    <t>ninayjt@gmail.com</t>
  </si>
  <si>
    <t>0953041522</t>
  </si>
  <si>
    <t>洪芯芸</t>
  </si>
  <si>
    <t>dellynn26@gmail.com</t>
  </si>
  <si>
    <t>0955738393</t>
  </si>
  <si>
    <t>王愛華</t>
  </si>
  <si>
    <t>beanmother35@gmail.com</t>
  </si>
  <si>
    <t>0933236702</t>
  </si>
  <si>
    <t>02890</t>
  </si>
  <si>
    <t>244新北市林口區仁愛路二段502號15樓1508A</t>
  </si>
  <si>
    <t>郭玫芳</t>
  </si>
  <si>
    <t>joan2241b3@gmail.com</t>
  </si>
  <si>
    <t>0953357302</t>
  </si>
  <si>
    <t>251新北市淡水區民族路65巷46號6樓</t>
  </si>
  <si>
    <t>郭伃庭</t>
  </si>
  <si>
    <t>iamkuokuo10@gmail.com</t>
  </si>
  <si>
    <t>0970748847</t>
  </si>
  <si>
    <t>暨大人文學院國比系辦(5/4、5/5 兩日的12:00-13:00)</t>
  </si>
  <si>
    <t>黃亭蓁</t>
  </si>
  <si>
    <t>bhu911119@gmail.com</t>
  </si>
  <si>
    <t>0900600894</t>
  </si>
  <si>
    <t>吳俞婷</t>
  </si>
  <si>
    <t>emma20030715@gmail.com</t>
  </si>
  <si>
    <t>0966652305</t>
  </si>
  <si>
    <t>謝佳紋</t>
  </si>
  <si>
    <t>ru5328150@gmail.com</t>
  </si>
  <si>
    <t>0981181667</t>
  </si>
  <si>
    <t>嚴珮瑄</t>
  </si>
  <si>
    <t>tina0055220@gmail.com</t>
  </si>
  <si>
    <t>0968686302</t>
  </si>
  <si>
    <t>林家瑀</t>
  </si>
  <si>
    <t>joyce911108@gmail.com</t>
  </si>
  <si>
    <t>0958335635</t>
  </si>
  <si>
    <t>黃蔚玲</t>
  </si>
  <si>
    <t>s110402019@mail1.ncnu.edu.tw</t>
  </si>
  <si>
    <t>0972380535</t>
  </si>
  <si>
    <t>李玉姿</t>
  </si>
  <si>
    <t>rosannalyt@gmail.com</t>
  </si>
  <si>
    <t>0928616677</t>
  </si>
  <si>
    <t>母親節卡2</t>
  </si>
  <si>
    <t>黃蘭惠</t>
  </si>
  <si>
    <t>peggy9862@gmail.com</t>
  </si>
  <si>
    <t>0939570308</t>
  </si>
  <si>
    <t>余曉雯</t>
  </si>
  <si>
    <t>林汶萱</t>
  </si>
  <si>
    <t>sharon889980702@yahoo.com.tw</t>
  </si>
  <si>
    <t>0979810523</t>
  </si>
  <si>
    <t>Simon 孟賢</t>
  </si>
  <si>
    <t>simon.xian@gmail.com</t>
  </si>
  <si>
    <t>0955532381</t>
  </si>
  <si>
    <t>黃慧芬</t>
  </si>
  <si>
    <t>hopeselfh@mail3.hwsh.tc.edu.tw</t>
  </si>
  <si>
    <t>0912968901</t>
  </si>
  <si>
    <t>408台中巿南屯區公益路二段298號輔導室</t>
  </si>
  <si>
    <t>林承龍</t>
  </si>
  <si>
    <t>naturee@ms39.hinet.net</t>
  </si>
  <si>
    <t>0918209443</t>
  </si>
  <si>
    <t>244016 新北市林口區文化二路二段110巷9-1號4樓</t>
  </si>
  <si>
    <t>吳毓瑩</t>
  </si>
  <si>
    <t>iris071007110712@gmail.com</t>
  </si>
  <si>
    <t>0933637856</t>
  </si>
  <si>
    <t>吳濬帆</t>
  </si>
  <si>
    <t>claire1007@gmail.com</t>
  </si>
  <si>
    <t>0988225304</t>
  </si>
  <si>
    <t>238新北市樹林區中山路一段242巷29弄1-1號4樓</t>
  </si>
  <si>
    <t>崔慈悌</t>
  </si>
  <si>
    <t>sweet326@ms51.hinet.net</t>
  </si>
  <si>
    <t>0911002309</t>
  </si>
  <si>
    <t>830高雄市鳳山區和德街37號7樓</t>
  </si>
  <si>
    <t>蘇聖涵</t>
  </si>
  <si>
    <t>shenghansu711@gmail.com</t>
  </si>
  <si>
    <t>0963258632</t>
  </si>
  <si>
    <t>03362</t>
  </si>
  <si>
    <t>30643新竹縣關西鎮東安里中山東路2號(關西高中教務處)</t>
  </si>
  <si>
    <t xml:space="preserve">林芷瑩
</t>
  </si>
  <si>
    <t>applelin2003@gmail.com</t>
  </si>
  <si>
    <t>吳慧君</t>
  </si>
  <si>
    <t>joyce.huei@gmail.com</t>
  </si>
  <si>
    <t>陳怡真</t>
  </si>
  <si>
    <t>yyii6061@gmail.com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</si>
</sst>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222222"/>
      <name val="Arial"/>
      <family val="2"/>
    </font>
    <font>
      <sz val="12"/>
      <color rgb="FF202124"/>
      <name val="Roboto"/>
    </font>
    <font>
      <sz val="9"/>
      <name val="Arial"/>
      <family val="3"/>
      <charset val="136"/>
      <scheme val="minor"/>
    </font>
    <font>
      <sz val="10"/>
      <color rgb="FFFF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7BB8A"/>
        <bgColor rgb="FF57BB8A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76" fontId="1" fillId="0" borderId="0" xfId="0" applyNumberFormat="1" applyFont="1" applyAlignment="1"/>
    <xf numFmtId="0" fontId="1" fillId="0" borderId="0" xfId="0" quotePrefix="1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1" fillId="3" borderId="0" xfId="0" applyFont="1" applyFill="1" applyAlignment="1"/>
    <xf numFmtId="0" fontId="4" fillId="2" borderId="0" xfId="0" applyFont="1" applyFill="1" applyAlignment="1"/>
    <xf numFmtId="0" fontId="1" fillId="4" borderId="0" xfId="0" applyFont="1" applyFill="1" applyAlignment="1"/>
    <xf numFmtId="0" fontId="6" fillId="0" borderId="0" xfId="0" applyFont="1" applyAlignment="1"/>
    <xf numFmtId="0" fontId="1" fillId="5" borderId="0" xfId="0" applyFont="1" applyFill="1" applyAlignment="1"/>
    <xf numFmtId="0" fontId="7" fillId="0" borderId="0" xfId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yii606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55"/>
  <sheetViews>
    <sheetView tabSelected="1" topLeftCell="B1" workbookViewId="0">
      <pane ySplit="1" topLeftCell="A35" activePane="bottomLeft" state="frozen"/>
      <selection pane="bottomLeft" activeCell="F59" sqref="F59"/>
    </sheetView>
  </sheetViews>
  <sheetFormatPr defaultColWidth="12.6328125" defaultRowHeight="15.75" customHeight="1"/>
  <cols>
    <col min="1" max="1" width="18.90625" hidden="1" customWidth="1"/>
    <col min="2" max="2" width="18.90625" customWidth="1"/>
    <col min="3" max="3" width="19.26953125" customWidth="1"/>
    <col min="4" max="4" width="22.26953125" customWidth="1"/>
    <col min="5" max="5" width="9.08984375" customWidth="1"/>
    <col min="6" max="6" width="7.36328125" customWidth="1"/>
    <col min="7" max="7" width="18.90625" customWidth="1"/>
    <col min="8" max="9" width="18.90625" hidden="1" customWidth="1"/>
    <col min="10" max="10" width="19.453125" customWidth="1"/>
    <col min="11" max="11" width="9" customWidth="1"/>
    <col min="12" max="12" width="9.26953125" customWidth="1"/>
    <col min="13" max="13" width="8.453125" customWidth="1"/>
    <col min="14" max="14" width="12.36328125" customWidth="1"/>
    <col min="15" max="15" width="6.90625" customWidth="1"/>
    <col min="16" max="16" width="16.7265625" customWidth="1"/>
    <col min="17" max="17" width="5.26953125" customWidth="1"/>
    <col min="18" max="18" width="7.453125" customWidth="1"/>
    <col min="19" max="19" width="9.453125" customWidth="1"/>
    <col min="20" max="20" width="8.90625" customWidth="1"/>
    <col min="21" max="21" width="26.453125" customWidth="1"/>
    <col min="22" max="22" width="14.6328125" customWidth="1"/>
    <col min="23" max="23" width="9.26953125" customWidth="1"/>
    <col min="24" max="24" width="11.453125" customWidth="1"/>
    <col min="25" max="25" width="47.7265625" customWidth="1"/>
    <col min="26" max="26" width="56.26953125" customWidth="1"/>
    <col min="27" max="27" width="48" customWidth="1"/>
    <col min="28" max="34" width="18.90625" customWidth="1"/>
  </cols>
  <sheetData>
    <row r="1" spans="1:28" ht="15.7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2" t="s">
        <v>19</v>
      </c>
      <c r="V1" s="1" t="s">
        <v>20</v>
      </c>
      <c r="W1" s="2" t="s">
        <v>21</v>
      </c>
      <c r="X1" s="2" t="s">
        <v>22</v>
      </c>
      <c r="Y1" s="1" t="s">
        <v>23</v>
      </c>
      <c r="Z1" s="1" t="s">
        <v>24</v>
      </c>
      <c r="AA1" s="1" t="s">
        <v>25</v>
      </c>
      <c r="AB1" s="2" t="s">
        <v>26</v>
      </c>
    </row>
    <row r="2" spans="1:28" ht="15.75" customHeight="1">
      <c r="A2" s="3"/>
      <c r="B2" s="2" t="s">
        <v>27</v>
      </c>
      <c r="D2" s="2">
        <v>1</v>
      </c>
      <c r="K2" s="2">
        <v>1</v>
      </c>
      <c r="L2" s="2">
        <v>1</v>
      </c>
      <c r="M2" s="2">
        <v>1</v>
      </c>
      <c r="N2" s="2">
        <v>1</v>
      </c>
      <c r="S2" s="2">
        <v>2</v>
      </c>
      <c r="T2" s="10" t="s">
        <v>28</v>
      </c>
      <c r="U2" s="2" t="s">
        <v>29</v>
      </c>
      <c r="V2" s="4" t="s">
        <v>30</v>
      </c>
      <c r="W2" s="2" t="s">
        <v>31</v>
      </c>
      <c r="X2" s="2" t="s">
        <v>32</v>
      </c>
      <c r="Y2" s="2">
        <v>70400</v>
      </c>
      <c r="Z2" s="2" t="s">
        <v>33</v>
      </c>
      <c r="AA2" s="2" t="s">
        <v>34</v>
      </c>
    </row>
    <row r="3" spans="1:28" ht="15.75" customHeight="1">
      <c r="A3" s="3"/>
      <c r="B3" s="2" t="s">
        <v>27</v>
      </c>
      <c r="F3" s="2">
        <v>1</v>
      </c>
      <c r="N3" s="2" t="s">
        <v>35</v>
      </c>
      <c r="T3" s="2" t="s">
        <v>36</v>
      </c>
      <c r="U3" s="2" t="s">
        <v>37</v>
      </c>
      <c r="V3" s="4" t="s">
        <v>38</v>
      </c>
      <c r="W3" s="2" t="s">
        <v>31</v>
      </c>
      <c r="X3" s="2" t="s">
        <v>39</v>
      </c>
      <c r="Z3" s="2" t="s">
        <v>40</v>
      </c>
    </row>
    <row r="4" spans="1:28" ht="15.75" customHeight="1">
      <c r="A4" s="3"/>
      <c r="B4" s="2" t="s">
        <v>27</v>
      </c>
      <c r="D4" s="2">
        <v>1</v>
      </c>
      <c r="F4" s="2">
        <v>1</v>
      </c>
      <c r="K4" s="2">
        <v>2</v>
      </c>
      <c r="N4" s="2">
        <v>2</v>
      </c>
      <c r="S4" s="2">
        <v>1</v>
      </c>
      <c r="T4" s="2" t="s">
        <v>41</v>
      </c>
      <c r="U4" s="2" t="s">
        <v>42</v>
      </c>
      <c r="V4" s="4" t="s">
        <v>43</v>
      </c>
      <c r="W4" s="2" t="s">
        <v>31</v>
      </c>
      <c r="X4" s="2" t="s">
        <v>32</v>
      </c>
      <c r="Y4" s="2">
        <v>86771</v>
      </c>
      <c r="Z4" s="2" t="s">
        <v>44</v>
      </c>
      <c r="AA4" s="2" t="s">
        <v>45</v>
      </c>
    </row>
    <row r="5" spans="1:28" ht="15.75" customHeight="1">
      <c r="A5" s="3"/>
      <c r="B5" s="2" t="s">
        <v>27</v>
      </c>
      <c r="D5" s="2">
        <v>1</v>
      </c>
      <c r="J5" s="2">
        <v>1</v>
      </c>
      <c r="K5" s="2">
        <v>4</v>
      </c>
      <c r="L5" s="2">
        <v>1</v>
      </c>
      <c r="M5" s="2">
        <v>1</v>
      </c>
      <c r="N5" s="2">
        <v>1</v>
      </c>
      <c r="T5" s="2" t="s">
        <v>46</v>
      </c>
      <c r="U5" s="2" t="s">
        <v>47</v>
      </c>
      <c r="V5" s="4" t="s">
        <v>48</v>
      </c>
      <c r="W5" s="2" t="s">
        <v>31</v>
      </c>
      <c r="X5" s="2" t="s">
        <v>32</v>
      </c>
      <c r="Y5" s="2">
        <v>49542</v>
      </c>
      <c r="Z5" s="2" t="s">
        <v>44</v>
      </c>
      <c r="AA5" s="2" t="s">
        <v>49</v>
      </c>
    </row>
    <row r="6" spans="1:28" ht="15.75" customHeight="1">
      <c r="A6" s="3"/>
      <c r="B6" s="2" t="s">
        <v>27</v>
      </c>
      <c r="C6" s="2">
        <v>1</v>
      </c>
      <c r="K6" s="2">
        <v>1</v>
      </c>
      <c r="M6" s="2">
        <v>3</v>
      </c>
      <c r="N6" s="2">
        <v>1</v>
      </c>
      <c r="T6" s="11" t="s">
        <v>50</v>
      </c>
      <c r="U6" s="2" t="s">
        <v>51</v>
      </c>
      <c r="V6" s="4" t="s">
        <v>52</v>
      </c>
      <c r="W6" s="2" t="s">
        <v>31</v>
      </c>
      <c r="X6" s="2" t="s">
        <v>39</v>
      </c>
      <c r="Z6" s="2" t="s">
        <v>53</v>
      </c>
      <c r="AA6" s="2" t="s">
        <v>54</v>
      </c>
    </row>
    <row r="7" spans="1:28" ht="15.75" customHeight="1">
      <c r="A7" s="3"/>
      <c r="B7" s="2" t="s">
        <v>27</v>
      </c>
      <c r="C7" s="2">
        <v>1</v>
      </c>
      <c r="K7" s="2">
        <v>1</v>
      </c>
      <c r="L7" s="2">
        <v>1</v>
      </c>
      <c r="N7" s="2">
        <v>1</v>
      </c>
      <c r="T7" s="11" t="s">
        <v>55</v>
      </c>
      <c r="U7" s="2" t="s">
        <v>56</v>
      </c>
      <c r="V7" s="4" t="s">
        <v>57</v>
      </c>
      <c r="W7" s="2" t="s">
        <v>31</v>
      </c>
      <c r="X7" s="2" t="s">
        <v>39</v>
      </c>
      <c r="Z7" s="2" t="s">
        <v>53</v>
      </c>
      <c r="AA7" s="2" t="s">
        <v>58</v>
      </c>
    </row>
    <row r="8" spans="1:28" ht="15.75" customHeight="1">
      <c r="A8" s="3"/>
      <c r="B8" s="2" t="s">
        <v>27</v>
      </c>
      <c r="C8" s="2">
        <v>1</v>
      </c>
      <c r="D8" s="2">
        <v>1</v>
      </c>
      <c r="E8" s="2">
        <v>1</v>
      </c>
      <c r="F8" s="2">
        <v>1</v>
      </c>
      <c r="J8" s="2">
        <v>1</v>
      </c>
      <c r="K8" s="2">
        <v>1</v>
      </c>
      <c r="L8" s="2">
        <v>1</v>
      </c>
      <c r="M8" s="2">
        <v>1</v>
      </c>
      <c r="N8" s="2" t="s">
        <v>59</v>
      </c>
      <c r="T8" s="2" t="s">
        <v>60</v>
      </c>
      <c r="U8" s="2" t="s">
        <v>61</v>
      </c>
      <c r="V8" s="4" t="s">
        <v>62</v>
      </c>
      <c r="W8" s="2" t="s">
        <v>31</v>
      </c>
      <c r="X8" s="2" t="s">
        <v>32</v>
      </c>
      <c r="Y8" s="2">
        <v>31015</v>
      </c>
      <c r="Z8" s="2" t="s">
        <v>44</v>
      </c>
      <c r="AA8" s="2" t="s">
        <v>63</v>
      </c>
    </row>
    <row r="9" spans="1:28" ht="15.75" customHeight="1">
      <c r="A9" s="3"/>
      <c r="B9" s="2" t="s">
        <v>27</v>
      </c>
      <c r="D9" s="2">
        <v>1</v>
      </c>
      <c r="K9" s="2">
        <v>1</v>
      </c>
      <c r="M9" s="2">
        <v>1</v>
      </c>
      <c r="T9" s="2" t="s">
        <v>64</v>
      </c>
      <c r="U9" s="2" t="s">
        <v>65</v>
      </c>
      <c r="V9" s="4" t="s">
        <v>66</v>
      </c>
      <c r="W9" s="2" t="s">
        <v>31</v>
      </c>
      <c r="X9" s="2" t="s">
        <v>39</v>
      </c>
      <c r="Z9" s="2" t="s">
        <v>40</v>
      </c>
    </row>
    <row r="10" spans="1:28" ht="15.75" customHeight="1">
      <c r="A10" s="3"/>
      <c r="B10" s="2" t="s">
        <v>27</v>
      </c>
      <c r="C10" s="2">
        <v>2</v>
      </c>
      <c r="F10" s="2">
        <v>1</v>
      </c>
      <c r="J10" s="2">
        <v>1</v>
      </c>
      <c r="K10" s="2">
        <v>4</v>
      </c>
      <c r="M10" s="2">
        <v>1</v>
      </c>
      <c r="N10" s="2" t="s">
        <v>67</v>
      </c>
      <c r="T10" s="2" t="s">
        <v>68</v>
      </c>
      <c r="U10" s="2" t="s">
        <v>69</v>
      </c>
      <c r="V10" s="4" t="s">
        <v>70</v>
      </c>
      <c r="W10" s="2" t="s">
        <v>31</v>
      </c>
      <c r="X10" s="2" t="s">
        <v>39</v>
      </c>
      <c r="Z10" s="2" t="s">
        <v>44</v>
      </c>
      <c r="AA10" s="2" t="s">
        <v>71</v>
      </c>
    </row>
    <row r="11" spans="1:28" ht="15.75" customHeight="1">
      <c r="A11" s="3"/>
      <c r="B11" s="2" t="s">
        <v>27</v>
      </c>
      <c r="D11" s="2">
        <v>1</v>
      </c>
      <c r="J11" s="2">
        <v>2</v>
      </c>
      <c r="N11" s="2" t="s">
        <v>35</v>
      </c>
      <c r="T11" s="11" t="s">
        <v>72</v>
      </c>
      <c r="U11" s="2" t="s">
        <v>73</v>
      </c>
      <c r="V11" s="4" t="s">
        <v>74</v>
      </c>
      <c r="W11" s="2" t="s">
        <v>31</v>
      </c>
      <c r="X11" s="2" t="s">
        <v>32</v>
      </c>
      <c r="Y11" s="2">
        <v>32206</v>
      </c>
      <c r="Z11" s="2" t="s">
        <v>53</v>
      </c>
    </row>
    <row r="12" spans="1:28" ht="15.75" customHeight="1">
      <c r="A12" s="3"/>
      <c r="B12" s="2" t="s">
        <v>75</v>
      </c>
      <c r="N12" s="2">
        <v>0</v>
      </c>
      <c r="S12" s="2">
        <v>2</v>
      </c>
      <c r="T12" s="11" t="s">
        <v>76</v>
      </c>
      <c r="U12" s="2" t="s">
        <v>77</v>
      </c>
      <c r="V12" s="4" t="s">
        <v>78</v>
      </c>
      <c r="W12" s="2" t="s">
        <v>31</v>
      </c>
      <c r="X12" s="2" t="s">
        <v>39</v>
      </c>
      <c r="Z12" s="2" t="s">
        <v>40</v>
      </c>
    </row>
    <row r="13" spans="1:28" ht="15.75" customHeight="1">
      <c r="A13" s="3"/>
      <c r="B13" s="2" t="s">
        <v>27</v>
      </c>
      <c r="C13" s="2">
        <v>1</v>
      </c>
      <c r="D13" s="2">
        <v>1</v>
      </c>
      <c r="J13" s="2">
        <v>1</v>
      </c>
      <c r="N13" s="2" t="s">
        <v>79</v>
      </c>
      <c r="T13" s="2" t="s">
        <v>80</v>
      </c>
      <c r="U13" s="2" t="s">
        <v>81</v>
      </c>
      <c r="V13" s="4" t="s">
        <v>82</v>
      </c>
      <c r="W13" s="2" t="s">
        <v>31</v>
      </c>
      <c r="X13" s="2" t="s">
        <v>32</v>
      </c>
      <c r="Y13" s="2">
        <v>57075</v>
      </c>
      <c r="Z13" s="2" t="s">
        <v>44</v>
      </c>
      <c r="AA13" s="2" t="s">
        <v>83</v>
      </c>
    </row>
    <row r="14" spans="1:28" ht="15.75" customHeight="1">
      <c r="A14" s="3"/>
      <c r="B14" s="2" t="s">
        <v>75</v>
      </c>
      <c r="N14" s="2">
        <v>0</v>
      </c>
      <c r="R14" s="2">
        <v>2</v>
      </c>
      <c r="S14" s="2">
        <v>2</v>
      </c>
      <c r="T14" s="11" t="s">
        <v>84</v>
      </c>
      <c r="U14" s="2" t="s">
        <v>85</v>
      </c>
      <c r="V14" s="4" t="s">
        <v>86</v>
      </c>
      <c r="W14" s="2" t="s">
        <v>31</v>
      </c>
      <c r="X14" s="2" t="s">
        <v>39</v>
      </c>
      <c r="Z14" s="2" t="s">
        <v>87</v>
      </c>
    </row>
    <row r="15" spans="1:28" ht="12.5">
      <c r="A15" s="3"/>
      <c r="B15" s="2" t="s">
        <v>75</v>
      </c>
      <c r="N15" s="2">
        <v>0</v>
      </c>
      <c r="R15" s="2">
        <v>3</v>
      </c>
      <c r="S15" s="2">
        <v>2</v>
      </c>
      <c r="T15" s="2" t="s">
        <v>88</v>
      </c>
      <c r="U15" s="2" t="s">
        <v>89</v>
      </c>
      <c r="V15" s="4" t="s">
        <v>90</v>
      </c>
      <c r="W15" s="2" t="s">
        <v>31</v>
      </c>
      <c r="X15" s="2" t="s">
        <v>32</v>
      </c>
      <c r="Y15" s="2">
        <v>84535</v>
      </c>
      <c r="Z15" s="2" t="s">
        <v>44</v>
      </c>
      <c r="AA15" s="2" t="s">
        <v>91</v>
      </c>
    </row>
    <row r="16" spans="1:28" ht="12.5">
      <c r="A16" s="3"/>
      <c r="B16" s="2" t="s">
        <v>27</v>
      </c>
      <c r="C16" s="2">
        <v>1</v>
      </c>
      <c r="K16" s="2">
        <v>2</v>
      </c>
      <c r="L16" s="2">
        <v>5</v>
      </c>
      <c r="N16" s="2" t="s">
        <v>92</v>
      </c>
      <c r="T16" s="2" t="s">
        <v>93</v>
      </c>
      <c r="U16" s="2" t="s">
        <v>94</v>
      </c>
      <c r="V16" s="4" t="s">
        <v>95</v>
      </c>
      <c r="W16" s="2" t="s">
        <v>31</v>
      </c>
      <c r="X16" s="2" t="s">
        <v>39</v>
      </c>
      <c r="Z16" s="2" t="s">
        <v>40</v>
      </c>
    </row>
    <row r="17" spans="1:27" ht="14">
      <c r="A17" s="3"/>
      <c r="B17" s="2" t="s">
        <v>27</v>
      </c>
      <c r="C17" s="2">
        <v>1</v>
      </c>
      <c r="K17" s="5">
        <v>10</v>
      </c>
      <c r="N17" s="2">
        <v>1</v>
      </c>
      <c r="T17" s="10" t="s">
        <v>96</v>
      </c>
      <c r="U17" s="2" t="s">
        <v>97</v>
      </c>
      <c r="V17" s="4" t="s">
        <v>98</v>
      </c>
      <c r="W17" s="2" t="s">
        <v>99</v>
      </c>
      <c r="X17" s="2" t="s">
        <v>32</v>
      </c>
      <c r="Y17" s="2">
        <v>92856</v>
      </c>
      <c r="Z17" s="2" t="s">
        <v>33</v>
      </c>
      <c r="AA17" s="2">
        <v>265</v>
      </c>
    </row>
    <row r="18" spans="1:27" ht="12.5">
      <c r="A18" s="3"/>
      <c r="B18" s="2" t="s">
        <v>27</v>
      </c>
      <c r="C18" s="2">
        <v>1</v>
      </c>
      <c r="D18" s="2">
        <v>1</v>
      </c>
      <c r="K18" s="2">
        <v>1</v>
      </c>
      <c r="N18" s="2" t="s">
        <v>67</v>
      </c>
      <c r="T18" s="2" t="s">
        <v>100</v>
      </c>
      <c r="U18" s="2" t="s">
        <v>101</v>
      </c>
      <c r="V18" s="4" t="s">
        <v>102</v>
      </c>
      <c r="W18" s="2" t="s">
        <v>31</v>
      </c>
      <c r="X18" s="2" t="s">
        <v>32</v>
      </c>
      <c r="Y18" s="2">
        <v>90902</v>
      </c>
      <c r="Z18" s="2" t="s">
        <v>40</v>
      </c>
    </row>
    <row r="19" spans="1:27" ht="12.5">
      <c r="A19" s="3"/>
      <c r="B19" s="2" t="s">
        <v>27</v>
      </c>
      <c r="C19" s="2">
        <v>1</v>
      </c>
      <c r="L19" s="2">
        <v>2</v>
      </c>
      <c r="N19" s="2" t="s">
        <v>92</v>
      </c>
      <c r="T19" s="11" t="s">
        <v>103</v>
      </c>
      <c r="U19" s="2" t="s">
        <v>104</v>
      </c>
      <c r="V19" s="4" t="s">
        <v>105</v>
      </c>
      <c r="W19" s="2" t="s">
        <v>31</v>
      </c>
      <c r="X19" s="2" t="s">
        <v>39</v>
      </c>
      <c r="Z19" s="2" t="s">
        <v>33</v>
      </c>
      <c r="AA19" s="2" t="s">
        <v>106</v>
      </c>
    </row>
    <row r="20" spans="1:27" ht="12.5">
      <c r="A20" s="3"/>
      <c r="B20" s="2" t="s">
        <v>27</v>
      </c>
      <c r="C20" s="2">
        <v>1</v>
      </c>
      <c r="M20" s="2">
        <v>1</v>
      </c>
      <c r="N20" s="2" t="s">
        <v>35</v>
      </c>
      <c r="S20" s="2">
        <v>1</v>
      </c>
      <c r="T20" s="2" t="s">
        <v>88</v>
      </c>
      <c r="U20" s="2" t="s">
        <v>89</v>
      </c>
      <c r="V20" s="4" t="s">
        <v>90</v>
      </c>
      <c r="W20" s="2" t="s">
        <v>31</v>
      </c>
      <c r="X20" s="2" t="s">
        <v>32</v>
      </c>
      <c r="Y20" s="2">
        <v>84535</v>
      </c>
      <c r="Z20" s="2" t="s">
        <v>44</v>
      </c>
      <c r="AA20" s="2" t="s">
        <v>107</v>
      </c>
    </row>
    <row r="21" spans="1:27" ht="12.5">
      <c r="A21" s="3"/>
      <c r="B21" s="2" t="s">
        <v>75</v>
      </c>
      <c r="N21" s="2">
        <v>0</v>
      </c>
      <c r="R21" s="2">
        <v>1</v>
      </c>
      <c r="S21" s="2">
        <v>1</v>
      </c>
      <c r="T21" s="2" t="s">
        <v>108</v>
      </c>
      <c r="U21" s="2" t="s">
        <v>109</v>
      </c>
      <c r="V21" s="4" t="s">
        <v>110</v>
      </c>
      <c r="W21" s="2" t="s">
        <v>31</v>
      </c>
      <c r="X21" s="2" t="s">
        <v>32</v>
      </c>
      <c r="Y21" s="2">
        <v>89421</v>
      </c>
      <c r="Z21" s="2" t="s">
        <v>44</v>
      </c>
      <c r="AA21" s="2" t="s">
        <v>111</v>
      </c>
    </row>
    <row r="22" spans="1:27" ht="12.5">
      <c r="A22" s="3"/>
      <c r="B22" s="2" t="s">
        <v>27</v>
      </c>
      <c r="C22" s="2">
        <v>1</v>
      </c>
      <c r="D22" s="2">
        <v>1</v>
      </c>
      <c r="J22" s="2">
        <v>1</v>
      </c>
      <c r="K22" s="2">
        <v>10</v>
      </c>
      <c r="L22" s="2">
        <v>1</v>
      </c>
      <c r="N22" s="2">
        <v>2</v>
      </c>
      <c r="T22" s="10" t="s">
        <v>112</v>
      </c>
      <c r="U22" s="2" t="s">
        <v>113</v>
      </c>
      <c r="V22" s="4" t="s">
        <v>114</v>
      </c>
      <c r="W22" s="2" t="s">
        <v>31</v>
      </c>
      <c r="X22" s="2" t="s">
        <v>39</v>
      </c>
      <c r="Z22" s="2" t="s">
        <v>33</v>
      </c>
    </row>
    <row r="23" spans="1:27" ht="12.5">
      <c r="A23" s="3"/>
      <c r="B23" s="2" t="s">
        <v>27</v>
      </c>
      <c r="C23" s="2">
        <v>1</v>
      </c>
      <c r="J23" s="2">
        <v>1</v>
      </c>
      <c r="K23" s="2">
        <v>3</v>
      </c>
      <c r="L23" s="2">
        <v>1</v>
      </c>
      <c r="M23" s="2">
        <v>1</v>
      </c>
      <c r="N23" s="2" t="s">
        <v>35</v>
      </c>
      <c r="T23" s="2" t="s">
        <v>115</v>
      </c>
      <c r="U23" s="2" t="s">
        <v>116</v>
      </c>
      <c r="V23" s="4" t="s">
        <v>117</v>
      </c>
      <c r="W23" s="2" t="s">
        <v>31</v>
      </c>
      <c r="X23" s="2" t="s">
        <v>32</v>
      </c>
      <c r="Y23" s="2">
        <v>94879</v>
      </c>
      <c r="Z23" s="2" t="s">
        <v>44</v>
      </c>
      <c r="AA23" s="2" t="s">
        <v>118</v>
      </c>
    </row>
    <row r="24" spans="1:27" ht="12.5">
      <c r="A24" s="3"/>
      <c r="B24" s="2" t="s">
        <v>27</v>
      </c>
      <c r="C24" s="2">
        <v>1</v>
      </c>
      <c r="K24" s="2">
        <v>3</v>
      </c>
      <c r="L24" s="2">
        <v>2</v>
      </c>
      <c r="M24" s="2">
        <v>1</v>
      </c>
      <c r="N24" s="2" t="s">
        <v>92</v>
      </c>
      <c r="T24" s="2" t="s">
        <v>119</v>
      </c>
      <c r="U24" s="2" t="s">
        <v>116</v>
      </c>
      <c r="V24" s="4" t="s">
        <v>117</v>
      </c>
      <c r="W24" s="2" t="s">
        <v>31</v>
      </c>
      <c r="X24" s="2" t="s">
        <v>32</v>
      </c>
      <c r="Y24" s="2">
        <v>94879</v>
      </c>
      <c r="Z24" s="2" t="s">
        <v>44</v>
      </c>
      <c r="AA24" s="6" t="s">
        <v>120</v>
      </c>
    </row>
    <row r="25" spans="1:27" ht="12.5">
      <c r="A25" s="3"/>
      <c r="B25" s="2" t="s">
        <v>27</v>
      </c>
      <c r="C25" s="2">
        <v>1</v>
      </c>
      <c r="J25" s="2">
        <v>1</v>
      </c>
      <c r="N25" s="2">
        <v>1</v>
      </c>
      <c r="T25" s="11" t="s">
        <v>121</v>
      </c>
      <c r="U25" s="2" t="s">
        <v>122</v>
      </c>
      <c r="V25" s="4" t="s">
        <v>123</v>
      </c>
      <c r="W25" s="2" t="s">
        <v>31</v>
      </c>
      <c r="X25" s="2" t="s">
        <v>39</v>
      </c>
      <c r="Z25" s="2" t="s">
        <v>87</v>
      </c>
    </row>
    <row r="26" spans="1:27" ht="12.5">
      <c r="A26" s="3"/>
      <c r="B26" s="2" t="s">
        <v>27</v>
      </c>
      <c r="C26" s="2">
        <v>1</v>
      </c>
      <c r="N26" s="2">
        <v>1</v>
      </c>
      <c r="T26" s="11" t="s">
        <v>124</v>
      </c>
      <c r="U26" s="2" t="s">
        <v>125</v>
      </c>
      <c r="V26" s="4" t="s">
        <v>126</v>
      </c>
      <c r="W26" s="2" t="s">
        <v>31</v>
      </c>
      <c r="X26" s="2" t="s">
        <v>39</v>
      </c>
      <c r="Z26" s="2" t="s">
        <v>87</v>
      </c>
    </row>
    <row r="27" spans="1:27" ht="12.5">
      <c r="A27" s="3"/>
      <c r="B27" s="2" t="s">
        <v>27</v>
      </c>
      <c r="D27" s="2">
        <v>1</v>
      </c>
      <c r="N27" s="2" t="s">
        <v>35</v>
      </c>
      <c r="T27" s="7" t="s">
        <v>127</v>
      </c>
      <c r="U27" s="2" t="s">
        <v>128</v>
      </c>
      <c r="V27" s="4" t="s">
        <v>129</v>
      </c>
      <c r="W27" s="2" t="s">
        <v>31</v>
      </c>
      <c r="X27" s="2" t="s">
        <v>39</v>
      </c>
      <c r="Z27" s="2" t="s">
        <v>40</v>
      </c>
    </row>
    <row r="28" spans="1:27" ht="12.5">
      <c r="A28" s="3"/>
      <c r="B28" s="2" t="s">
        <v>27</v>
      </c>
      <c r="E28" s="2">
        <v>1</v>
      </c>
      <c r="L28" s="2">
        <v>1</v>
      </c>
      <c r="N28" s="2" t="s">
        <v>35</v>
      </c>
      <c r="T28" s="2" t="s">
        <v>130</v>
      </c>
      <c r="U28" s="2" t="s">
        <v>131</v>
      </c>
      <c r="V28" s="4" t="s">
        <v>132</v>
      </c>
      <c r="W28" s="2" t="s">
        <v>31</v>
      </c>
      <c r="X28" s="2" t="s">
        <v>32</v>
      </c>
      <c r="Y28" s="2">
        <v>69780</v>
      </c>
      <c r="Z28" s="2" t="s">
        <v>44</v>
      </c>
      <c r="AA28" s="2" t="s">
        <v>133</v>
      </c>
    </row>
    <row r="29" spans="1:27" ht="12.5">
      <c r="A29" s="3"/>
      <c r="B29" s="2" t="s">
        <v>27</v>
      </c>
      <c r="C29" s="2">
        <v>2</v>
      </c>
      <c r="D29" s="2">
        <v>2</v>
      </c>
      <c r="N29" s="2" t="s">
        <v>59</v>
      </c>
      <c r="T29" s="11" t="s">
        <v>134</v>
      </c>
      <c r="U29" s="2" t="s">
        <v>135</v>
      </c>
      <c r="V29" s="4" t="s">
        <v>136</v>
      </c>
      <c r="W29" s="2" t="s">
        <v>31</v>
      </c>
      <c r="X29" s="2" t="s">
        <v>39</v>
      </c>
      <c r="Z29" s="2" t="s">
        <v>53</v>
      </c>
    </row>
    <row r="30" spans="1:27" ht="12.5">
      <c r="A30" s="3"/>
      <c r="B30" s="2" t="s">
        <v>27</v>
      </c>
      <c r="D30" s="2">
        <v>4</v>
      </c>
      <c r="E30" s="2">
        <v>1</v>
      </c>
      <c r="N30" s="2">
        <v>5</v>
      </c>
      <c r="P30" s="2">
        <v>1</v>
      </c>
      <c r="S30" s="2">
        <v>2</v>
      </c>
      <c r="T30" s="10" t="s">
        <v>137</v>
      </c>
      <c r="U30" s="2" t="s">
        <v>138</v>
      </c>
      <c r="V30" s="4" t="s">
        <v>139</v>
      </c>
      <c r="W30" s="2" t="s">
        <v>31</v>
      </c>
      <c r="X30" s="2" t="s">
        <v>39</v>
      </c>
      <c r="Z30" s="2" t="s">
        <v>33</v>
      </c>
    </row>
    <row r="31" spans="1:27" ht="12.5">
      <c r="A31" s="3"/>
      <c r="B31" s="2" t="s">
        <v>75</v>
      </c>
      <c r="N31" s="2">
        <v>0</v>
      </c>
      <c r="S31" s="2">
        <v>1</v>
      </c>
      <c r="T31" s="7" t="s">
        <v>140</v>
      </c>
      <c r="U31" s="2" t="s">
        <v>141</v>
      </c>
      <c r="V31" s="4" t="s">
        <v>142</v>
      </c>
      <c r="W31" s="2" t="s">
        <v>31</v>
      </c>
      <c r="X31" s="2" t="s">
        <v>39</v>
      </c>
      <c r="Z31" s="2" t="s">
        <v>40</v>
      </c>
    </row>
    <row r="32" spans="1:27" ht="12.5">
      <c r="A32" s="3"/>
      <c r="B32" s="2" t="s">
        <v>27</v>
      </c>
      <c r="C32" s="2">
        <v>1</v>
      </c>
      <c r="D32" s="2">
        <v>1</v>
      </c>
      <c r="N32" s="2" t="s">
        <v>67</v>
      </c>
      <c r="T32" s="2" t="s">
        <v>143</v>
      </c>
      <c r="U32" s="2" t="s">
        <v>144</v>
      </c>
      <c r="V32" s="4" t="s">
        <v>145</v>
      </c>
      <c r="W32" s="2" t="s">
        <v>31</v>
      </c>
      <c r="X32" s="2" t="s">
        <v>32</v>
      </c>
      <c r="Y32" s="4" t="s">
        <v>146</v>
      </c>
      <c r="Z32" s="2" t="s">
        <v>44</v>
      </c>
      <c r="AA32" s="2" t="s">
        <v>147</v>
      </c>
    </row>
    <row r="33" spans="1:27" ht="12.5">
      <c r="A33" s="3"/>
      <c r="B33" s="2" t="s">
        <v>75</v>
      </c>
      <c r="N33" s="2">
        <v>0</v>
      </c>
      <c r="S33" s="2">
        <v>10</v>
      </c>
      <c r="T33" s="2" t="s">
        <v>148</v>
      </c>
      <c r="U33" s="2" t="s">
        <v>149</v>
      </c>
      <c r="V33" s="4" t="s">
        <v>150</v>
      </c>
      <c r="W33" s="2" t="s">
        <v>99</v>
      </c>
      <c r="X33" s="2" t="s">
        <v>32</v>
      </c>
      <c r="Y33" s="2">
        <v>46626</v>
      </c>
      <c r="Z33" s="2" t="s">
        <v>44</v>
      </c>
      <c r="AA33" s="2" t="s">
        <v>151</v>
      </c>
    </row>
    <row r="34" spans="1:27" ht="12.5">
      <c r="A34" s="3"/>
      <c r="B34" s="2" t="s">
        <v>75</v>
      </c>
      <c r="N34" s="2">
        <v>0</v>
      </c>
      <c r="R34" s="2">
        <v>5</v>
      </c>
      <c r="T34" s="7" t="s">
        <v>152</v>
      </c>
      <c r="U34" s="2" t="s">
        <v>153</v>
      </c>
      <c r="V34" s="4" t="s">
        <v>154</v>
      </c>
      <c r="W34" s="2" t="s">
        <v>31</v>
      </c>
      <c r="X34" s="2" t="s">
        <v>39</v>
      </c>
      <c r="Z34" s="2" t="s">
        <v>155</v>
      </c>
    </row>
    <row r="35" spans="1:27" ht="12.5">
      <c r="A35" s="3"/>
      <c r="B35" s="2" t="s">
        <v>75</v>
      </c>
      <c r="N35" s="2">
        <v>0</v>
      </c>
      <c r="S35" s="2">
        <v>1</v>
      </c>
      <c r="T35" s="7" t="s">
        <v>156</v>
      </c>
      <c r="U35" s="2" t="s">
        <v>157</v>
      </c>
      <c r="V35" s="4" t="s">
        <v>158</v>
      </c>
      <c r="W35" s="2" t="s">
        <v>31</v>
      </c>
      <c r="X35" s="2" t="s">
        <v>39</v>
      </c>
      <c r="Z35" s="2" t="s">
        <v>155</v>
      </c>
    </row>
    <row r="36" spans="1:27" ht="12.5">
      <c r="A36" s="3"/>
      <c r="B36" s="2" t="s">
        <v>75</v>
      </c>
      <c r="N36" s="2">
        <v>0</v>
      </c>
      <c r="R36" s="2">
        <v>2</v>
      </c>
      <c r="S36" s="2">
        <v>2</v>
      </c>
      <c r="T36" s="7" t="s">
        <v>159</v>
      </c>
      <c r="U36" s="2" t="s">
        <v>160</v>
      </c>
      <c r="V36" s="4" t="s">
        <v>161</v>
      </c>
      <c r="W36" s="2" t="s">
        <v>31</v>
      </c>
      <c r="X36" s="2" t="s">
        <v>39</v>
      </c>
      <c r="Z36" s="2" t="s">
        <v>155</v>
      </c>
    </row>
    <row r="37" spans="1:27" ht="12.5">
      <c r="A37" s="3"/>
      <c r="B37" s="2" t="s">
        <v>27</v>
      </c>
      <c r="C37" s="2">
        <v>1</v>
      </c>
      <c r="M37" s="2">
        <v>1</v>
      </c>
      <c r="N37" s="2" t="s">
        <v>92</v>
      </c>
      <c r="T37" s="7" t="s">
        <v>162</v>
      </c>
      <c r="U37" s="2" t="s">
        <v>163</v>
      </c>
      <c r="V37" s="4" t="s">
        <v>164</v>
      </c>
      <c r="W37" s="2" t="s">
        <v>31</v>
      </c>
      <c r="X37" s="2" t="s">
        <v>39</v>
      </c>
      <c r="Z37" s="2" t="s">
        <v>155</v>
      </c>
    </row>
    <row r="38" spans="1:27" ht="12.5">
      <c r="A38" s="3"/>
      <c r="B38" s="2" t="s">
        <v>27</v>
      </c>
      <c r="D38" s="2">
        <v>1</v>
      </c>
      <c r="N38" s="2" t="s">
        <v>35</v>
      </c>
      <c r="S38" s="2">
        <v>1</v>
      </c>
      <c r="T38" s="7" t="s">
        <v>165</v>
      </c>
      <c r="U38" s="2" t="s">
        <v>166</v>
      </c>
      <c r="V38" s="4" t="s">
        <v>167</v>
      </c>
      <c r="W38" s="2" t="s">
        <v>31</v>
      </c>
      <c r="X38" s="2" t="s">
        <v>39</v>
      </c>
      <c r="Z38" s="2" t="s">
        <v>155</v>
      </c>
    </row>
    <row r="39" spans="1:27" ht="12.5">
      <c r="A39" s="3"/>
      <c r="B39" s="2" t="s">
        <v>27</v>
      </c>
      <c r="C39" s="2"/>
      <c r="D39" s="2">
        <v>1</v>
      </c>
      <c r="M39" s="2">
        <v>1</v>
      </c>
      <c r="N39" s="2" t="s">
        <v>35</v>
      </c>
      <c r="T39" s="7" t="s">
        <v>168</v>
      </c>
      <c r="U39" s="2" t="s">
        <v>169</v>
      </c>
      <c r="V39" s="4" t="s">
        <v>170</v>
      </c>
      <c r="W39" s="2" t="s">
        <v>99</v>
      </c>
      <c r="X39" s="2" t="s">
        <v>39</v>
      </c>
      <c r="Z39" s="2" t="s">
        <v>155</v>
      </c>
    </row>
    <row r="40" spans="1:27" ht="12.5">
      <c r="A40" s="3"/>
      <c r="B40" s="2" t="s">
        <v>27</v>
      </c>
      <c r="D40" s="2">
        <v>1</v>
      </c>
      <c r="N40" s="2" t="s">
        <v>35</v>
      </c>
      <c r="T40" s="7" t="s">
        <v>171</v>
      </c>
      <c r="U40" s="2" t="s">
        <v>172</v>
      </c>
      <c r="V40" s="4" t="s">
        <v>173</v>
      </c>
      <c r="W40" s="2" t="s">
        <v>31</v>
      </c>
      <c r="X40" s="2" t="s">
        <v>39</v>
      </c>
      <c r="Z40" s="2" t="s">
        <v>155</v>
      </c>
    </row>
    <row r="41" spans="1:27" ht="12.5">
      <c r="A41" s="3"/>
      <c r="B41" s="2" t="s">
        <v>27</v>
      </c>
      <c r="D41" s="2">
        <v>1</v>
      </c>
      <c r="N41" s="2" t="s">
        <v>35</v>
      </c>
      <c r="S41" s="2">
        <v>2</v>
      </c>
      <c r="T41" s="11" t="s">
        <v>174</v>
      </c>
      <c r="U41" s="2" t="s">
        <v>175</v>
      </c>
      <c r="V41" s="4" t="s">
        <v>176</v>
      </c>
      <c r="W41" s="2" t="s">
        <v>31</v>
      </c>
      <c r="X41" s="2" t="s">
        <v>39</v>
      </c>
      <c r="Z41" s="2" t="s">
        <v>53</v>
      </c>
    </row>
    <row r="42" spans="1:27" ht="12.5">
      <c r="A42" s="3"/>
      <c r="B42" s="2" t="s">
        <v>27</v>
      </c>
      <c r="D42" s="2">
        <v>2</v>
      </c>
      <c r="N42" s="2" t="s">
        <v>177</v>
      </c>
      <c r="T42" s="11" t="s">
        <v>178</v>
      </c>
      <c r="U42" s="2" t="s">
        <v>179</v>
      </c>
      <c r="V42" s="4" t="s">
        <v>180</v>
      </c>
      <c r="W42" s="2" t="s">
        <v>99</v>
      </c>
      <c r="X42" s="2" t="s">
        <v>39</v>
      </c>
      <c r="Z42" s="2" t="s">
        <v>53</v>
      </c>
    </row>
    <row r="43" spans="1:27" ht="12.5">
      <c r="A43" s="3"/>
      <c r="B43" s="2" t="s">
        <v>27</v>
      </c>
      <c r="C43" s="2">
        <v>1</v>
      </c>
      <c r="D43" s="2">
        <v>2</v>
      </c>
      <c r="E43" s="2">
        <v>2</v>
      </c>
      <c r="M43" s="2">
        <v>5</v>
      </c>
      <c r="N43" s="2">
        <v>5</v>
      </c>
      <c r="T43" s="2" t="s">
        <v>181</v>
      </c>
      <c r="U43" s="2" t="s">
        <v>125</v>
      </c>
      <c r="V43" s="4" t="s">
        <v>126</v>
      </c>
      <c r="W43" s="2" t="s">
        <v>31</v>
      </c>
      <c r="X43" s="2" t="s">
        <v>39</v>
      </c>
      <c r="Z43" s="2" t="s">
        <v>155</v>
      </c>
    </row>
    <row r="44" spans="1:27" ht="12.5">
      <c r="A44" s="3"/>
      <c r="B44" s="2" t="s">
        <v>27</v>
      </c>
      <c r="D44" s="2">
        <v>1</v>
      </c>
      <c r="N44" s="2" t="s">
        <v>92</v>
      </c>
      <c r="T44" s="2" t="s">
        <v>182</v>
      </c>
      <c r="U44" s="2" t="s">
        <v>183</v>
      </c>
      <c r="V44" s="4" t="s">
        <v>184</v>
      </c>
      <c r="W44" s="2" t="s">
        <v>31</v>
      </c>
      <c r="X44" s="2" t="s">
        <v>32</v>
      </c>
      <c r="Y44" s="2">
        <v>25067</v>
      </c>
      <c r="Z44" s="2" t="s">
        <v>155</v>
      </c>
    </row>
    <row r="45" spans="1:27" ht="12.5">
      <c r="A45" s="3"/>
      <c r="B45" s="2" t="s">
        <v>75</v>
      </c>
      <c r="N45" s="2">
        <v>0</v>
      </c>
      <c r="P45" s="2">
        <v>1</v>
      </c>
      <c r="R45" s="2">
        <v>1</v>
      </c>
      <c r="T45" s="11" t="s">
        <v>185</v>
      </c>
      <c r="U45" s="2" t="s">
        <v>186</v>
      </c>
      <c r="V45" s="4" t="s">
        <v>187</v>
      </c>
      <c r="W45" s="2" t="s">
        <v>31</v>
      </c>
      <c r="X45" s="2" t="s">
        <v>32</v>
      </c>
      <c r="Y45" s="2">
        <v>96888</v>
      </c>
      <c r="Z45" s="2" t="s">
        <v>53</v>
      </c>
    </row>
    <row r="46" spans="1:27" ht="12.5">
      <c r="A46" s="3"/>
      <c r="B46" s="2" t="s">
        <v>75</v>
      </c>
      <c r="N46" s="2">
        <v>0</v>
      </c>
      <c r="S46" s="2">
        <v>4</v>
      </c>
      <c r="T46" s="2" t="s">
        <v>188</v>
      </c>
      <c r="U46" s="2" t="s">
        <v>189</v>
      </c>
      <c r="V46" s="4" t="s">
        <v>190</v>
      </c>
      <c r="W46" s="2" t="s">
        <v>31</v>
      </c>
      <c r="X46" s="2" t="s">
        <v>32</v>
      </c>
      <c r="Y46" s="2">
        <v>152430</v>
      </c>
      <c r="Z46" s="2" t="s">
        <v>44</v>
      </c>
      <c r="AA46" s="2" t="s">
        <v>191</v>
      </c>
    </row>
    <row r="47" spans="1:27" ht="12.5">
      <c r="A47" s="3"/>
      <c r="B47" s="2" t="s">
        <v>27</v>
      </c>
      <c r="C47" s="2">
        <v>1</v>
      </c>
      <c r="D47" s="2">
        <v>1</v>
      </c>
      <c r="M47" s="2">
        <v>1</v>
      </c>
      <c r="N47" s="2" t="s">
        <v>177</v>
      </c>
      <c r="T47" s="2" t="s">
        <v>192</v>
      </c>
      <c r="U47" s="2" t="s">
        <v>193</v>
      </c>
      <c r="V47" s="4" t="s">
        <v>194</v>
      </c>
      <c r="W47" s="2" t="s">
        <v>31</v>
      </c>
      <c r="X47" s="2" t="s">
        <v>32</v>
      </c>
      <c r="Y47" s="2">
        <v>85105</v>
      </c>
      <c r="Z47" s="2" t="s">
        <v>44</v>
      </c>
      <c r="AA47" s="2" t="s">
        <v>195</v>
      </c>
    </row>
    <row r="48" spans="1:27" ht="12.5">
      <c r="A48" s="3"/>
      <c r="B48" s="2" t="s">
        <v>27</v>
      </c>
      <c r="D48" s="2">
        <v>1</v>
      </c>
      <c r="M48" s="2">
        <v>1</v>
      </c>
      <c r="N48" s="2" t="s">
        <v>35</v>
      </c>
      <c r="T48" s="7" t="s">
        <v>196</v>
      </c>
      <c r="U48" s="2" t="s">
        <v>197</v>
      </c>
      <c r="V48" s="4" t="s">
        <v>198</v>
      </c>
      <c r="W48" s="2" t="s">
        <v>31</v>
      </c>
      <c r="X48" s="2" t="s">
        <v>39</v>
      </c>
      <c r="Z48" s="2" t="s">
        <v>155</v>
      </c>
    </row>
    <row r="49" spans="1:27" ht="12.5">
      <c r="A49" s="3"/>
      <c r="B49" s="2" t="s">
        <v>75</v>
      </c>
      <c r="N49" s="2">
        <v>0</v>
      </c>
      <c r="R49" s="2">
        <v>3</v>
      </c>
      <c r="S49" s="2">
        <v>3</v>
      </c>
      <c r="T49" s="2" t="s">
        <v>199</v>
      </c>
      <c r="U49" s="2" t="s">
        <v>200</v>
      </c>
      <c r="V49" s="4" t="s">
        <v>201</v>
      </c>
      <c r="W49" s="2" t="s">
        <v>99</v>
      </c>
      <c r="X49" s="2" t="s">
        <v>32</v>
      </c>
      <c r="Y49" s="2">
        <v>90223</v>
      </c>
      <c r="Z49" s="2" t="s">
        <v>44</v>
      </c>
      <c r="AA49" s="2" t="s">
        <v>202</v>
      </c>
    </row>
    <row r="50" spans="1:27" ht="12.5">
      <c r="A50" s="3"/>
      <c r="B50" s="2" t="s">
        <v>75</v>
      </c>
      <c r="N50" s="2">
        <v>0</v>
      </c>
      <c r="R50" s="2">
        <v>2</v>
      </c>
      <c r="S50" s="2">
        <v>2</v>
      </c>
      <c r="T50" s="11" t="s">
        <v>203</v>
      </c>
      <c r="U50" s="2" t="s">
        <v>204</v>
      </c>
      <c r="V50" s="4" t="s">
        <v>205</v>
      </c>
      <c r="W50" s="2" t="s">
        <v>31</v>
      </c>
      <c r="X50" s="2" t="s">
        <v>32</v>
      </c>
      <c r="Y50" s="2">
        <v>38640</v>
      </c>
      <c r="Z50" s="2" t="s">
        <v>44</v>
      </c>
      <c r="AA50" s="2" t="s">
        <v>206</v>
      </c>
    </row>
    <row r="51" spans="1:27" ht="12.5">
      <c r="A51" s="3"/>
      <c r="B51" s="2" t="s">
        <v>27</v>
      </c>
      <c r="C51" s="2">
        <v>1</v>
      </c>
      <c r="N51" s="2" t="s">
        <v>92</v>
      </c>
      <c r="T51" s="2" t="s">
        <v>207</v>
      </c>
      <c r="U51" s="2" t="s">
        <v>208</v>
      </c>
      <c r="V51" s="4" t="s">
        <v>209</v>
      </c>
      <c r="W51" s="2" t="s">
        <v>31</v>
      </c>
      <c r="X51" s="2" t="s">
        <v>32</v>
      </c>
      <c r="Y51" s="4" t="s">
        <v>210</v>
      </c>
      <c r="Z51" s="2" t="s">
        <v>44</v>
      </c>
      <c r="AA51" s="2" t="s">
        <v>211</v>
      </c>
    </row>
    <row r="52" spans="1:27" ht="15.5">
      <c r="B52" s="2" t="s">
        <v>75</v>
      </c>
      <c r="N52" s="2">
        <v>0</v>
      </c>
      <c r="R52" s="2">
        <v>1</v>
      </c>
      <c r="T52" s="7" t="s">
        <v>212</v>
      </c>
      <c r="U52" s="8" t="s">
        <v>213</v>
      </c>
      <c r="V52" s="8">
        <v>975341449</v>
      </c>
      <c r="W52" s="2" t="s">
        <v>99</v>
      </c>
      <c r="X52" s="2" t="s">
        <v>39</v>
      </c>
      <c r="Z52" s="2" t="s">
        <v>155</v>
      </c>
    </row>
    <row r="53" spans="1:27" ht="15.5">
      <c r="B53" s="2" t="s">
        <v>27</v>
      </c>
      <c r="C53" s="2">
        <v>1</v>
      </c>
      <c r="J53" s="2">
        <v>1</v>
      </c>
      <c r="N53" s="2">
        <v>1</v>
      </c>
      <c r="T53" s="9" t="s">
        <v>214</v>
      </c>
      <c r="U53" s="8" t="s">
        <v>215</v>
      </c>
      <c r="V53" s="8">
        <v>920739522</v>
      </c>
      <c r="W53" s="2" t="s">
        <v>31</v>
      </c>
    </row>
    <row r="54" spans="1:27" ht="12.5">
      <c r="B54" s="2" t="s">
        <v>27</v>
      </c>
      <c r="C54" s="2">
        <v>1</v>
      </c>
      <c r="J54" s="2">
        <v>1</v>
      </c>
      <c r="Q54" s="2">
        <v>1</v>
      </c>
      <c r="T54" s="9" t="s">
        <v>216</v>
      </c>
      <c r="U54" s="12" t="s">
        <v>217</v>
      </c>
      <c r="V54" s="2">
        <v>930923436</v>
      </c>
      <c r="W54" s="2" t="s">
        <v>31</v>
      </c>
    </row>
    <row r="55" spans="1:27" ht="15.75" customHeight="1">
      <c r="C55">
        <f>SUM(C2:C54)</f>
        <v>25</v>
      </c>
      <c r="D55">
        <f>SUM(D2:D54)</f>
        <v>28</v>
      </c>
      <c r="E55">
        <f>SUM(E2:E54)</f>
        <v>5</v>
      </c>
      <c r="F55">
        <f>SUM(F2:F54)</f>
        <v>4</v>
      </c>
    </row>
  </sheetData>
  <phoneticPr fontId="5" type="noConversion"/>
  <conditionalFormatting sqref="L1:L151">
    <cfRule type="colorScale" priority="1">
      <colorScale>
        <cfvo type="min"/>
        <cfvo type="max"/>
        <color rgb="FF57BB8A"/>
        <color rgb="FFFFFFFF"/>
      </colorScale>
    </cfRule>
  </conditionalFormatting>
  <conditionalFormatting sqref="L1:L151">
    <cfRule type="colorScale" priority="2">
      <colorScale>
        <cfvo type="min"/>
        <cfvo type="max"/>
        <color rgb="FF57BB8A"/>
        <color rgb="FFFFFFFF"/>
      </colorScale>
    </cfRule>
  </conditionalFormatting>
  <hyperlinks>
    <hyperlink ref="U54" r:id="rId1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余曉雯</dc:creator>
  <cp:lastModifiedBy>余曉雯</cp:lastModifiedBy>
  <dcterms:created xsi:type="dcterms:W3CDTF">2022-05-02T02:21:23Z</dcterms:created>
  <dcterms:modified xsi:type="dcterms:W3CDTF">2022-12-10T02:40:20Z</dcterms:modified>
</cp:coreProperties>
</file>