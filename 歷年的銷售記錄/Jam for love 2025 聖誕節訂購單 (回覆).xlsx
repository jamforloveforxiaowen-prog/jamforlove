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  <sheet state="visible" name="工作檔" sheetId="2" r:id="rId5"/>
    <sheet state="visible" name="暨大自取" sheetId="3" r:id="rId6"/>
    <sheet state="visible" name="曉雯老師面交" sheetId="4" r:id="rId7"/>
    <sheet state="visible" name="小川自取" sheetId="5" r:id="rId8"/>
    <sheet state="visible" name="郵寄" sheetId="6" r:id="rId9"/>
    <sheet state="visible" name="待確認" sheetId="7" r:id="rId10"/>
    <sheet state="visible" name="曉雯老師加" sheetId="8" r:id="rId11"/>
  </sheets>
  <definedNames/>
  <calcPr/>
</workbook>
</file>

<file path=xl/sharedStrings.xml><?xml version="1.0" encoding="utf-8"?>
<sst xmlns="http://schemas.openxmlformats.org/spreadsheetml/2006/main" count="2929" uniqueCount="487">
  <si>
    <t>時間戳記</t>
  </si>
  <si>
    <t>選擇購買</t>
  </si>
  <si>
    <t>組合1 : 3醬(柚香白巧克力醬、柚香和風沙拉醬、柚香胡麻醬)</t>
  </si>
  <si>
    <t>組合2 : 3選2（柚香白巧克力醬、柚香和風沙拉醬、柚香胡麻醬)+1柚香護手霜 (50ml)</t>
  </si>
  <si>
    <t>[組合2：三選二品項]</t>
  </si>
  <si>
    <t>組合3 : 3選2 (柚香白巧克力醬、柚香和風沙拉醬、柚香胡麻醬)+1手工皂</t>
  </si>
  <si>
    <t>[組合3：三選二品項]</t>
  </si>
  <si>
    <t>組合4 : 3手工皂</t>
  </si>
  <si>
    <t>【加購】金盞花乳霜（40ml）：300元</t>
  </si>
  <si>
    <t>【加購】玫瑰花乳霜（40ml）：300元</t>
  </si>
  <si>
    <t>【加購】柚香護手霜（100ml）：300元(限量10瓶)</t>
  </si>
  <si>
    <t>【加購】柚香護唇膏（15ml）：60元</t>
  </si>
  <si>
    <t>【加購】洗顏皂：150元</t>
  </si>
  <si>
    <t>【加購】手工洗頭皂：200元</t>
  </si>
  <si>
    <t>【加購】德國冷狗蛋糕(濃醇黑巧克力)(限暨大取貨)：80元</t>
  </si>
  <si>
    <t>【加購】德國冷狗蛋糕(柚香白巧克力)(限暨大取貨)：80元</t>
  </si>
  <si>
    <t>【加購】柚香護手霜馬卡龍隨行盒(10ml)：50元（限量15個）</t>
  </si>
  <si>
    <t>【加購】迷迭香西洋梨果醬 : 150元(限量6瓶)</t>
  </si>
  <si>
    <t xml:space="preserve">需不需要卡片                                                     </t>
  </si>
  <si>
    <t>*  請在下方直接填寫您要的數量</t>
  </si>
  <si>
    <t>【單購】手工皂：200元</t>
  </si>
  <si>
    <t>【單購】手工洗頭皂：250元</t>
  </si>
  <si>
    <t>【單購】金盞花乳霜（40ml）：350元</t>
  </si>
  <si>
    <t>【單購】玫瑰花乳霜（40ml）：350元</t>
  </si>
  <si>
    <t>【單購】柚香護手霜（50ml）：200元</t>
  </si>
  <si>
    <t>【單購】柚香護唇膏（15ml）：80元</t>
  </si>
  <si>
    <t>【單購】德國冷狗蛋糕(濃醇黑巧克力)(限暨大取貨)：100元</t>
  </si>
  <si>
    <t>【單購】德國冷狗蛋糕(柚香白巧克力)(限暨大取貨)：100元</t>
  </si>
  <si>
    <t>您的姓名</t>
  </si>
  <si>
    <t>電子郵件地址</t>
  </si>
  <si>
    <t>連絡電話</t>
  </si>
  <si>
    <t xml:space="preserve">您曾經以何種方式支持 Jam for Love? </t>
  </si>
  <si>
    <t>付款方式</t>
  </si>
  <si>
    <t>備註</t>
  </si>
  <si>
    <t>如果使用匯款交易，請填寫欲使用之金融機構帳號後5碼 (僅提供我們作為核對用途)</t>
  </si>
  <si>
    <t>取貨方式</t>
  </si>
  <si>
    <t>收件人</t>
  </si>
  <si>
    <t>收件地址（含郵遞區號，請寫5或6碼)</t>
  </si>
  <si>
    <t xml:space="preserve">【加購】柚香護手霜50ml：180元 </t>
  </si>
  <si>
    <t>【加購】手工皂：150元</t>
  </si>
  <si>
    <t>【加購】柚香護手霜（50ml）：180元</t>
  </si>
  <si>
    <t>【單購】柚香護唇膏 (15ml)：80元</t>
  </si>
  <si>
    <t>【單購】德國冷狗蛋糕(濃醇黑巧克力)(限暨大取貨)：80元</t>
  </si>
  <si>
    <t>【單購】德國冷狗蛋糕(柚香白巧克力)(限暨大取貨)：80元</t>
  </si>
  <si>
    <t>【加購】玫瑰花乳霜 (40ml) ：300元</t>
  </si>
  <si>
    <t>【加購】柚香護手霜 (50ml) ：180元</t>
  </si>
  <si>
    <t>【加購】柚香護手霜 (100ml) ：300元 (限量10瓶)</t>
  </si>
  <si>
    <t>【加購】柚香護唇膏 (15ml) ：60元</t>
  </si>
  <si>
    <t>【加購】手工皂 : 150元</t>
  </si>
  <si>
    <t>【加購】手工洗頭皂 : 200元</t>
  </si>
  <si>
    <t>【加購】德國冷狗蛋糕(濃醇黑巧克力)(限暨大取貨)：50元</t>
  </si>
  <si>
    <t>【加購】德國冷狗蛋糕(柚香白巧克力)(限暨大取貨)：50元</t>
  </si>
  <si>
    <t>【加購】柚香護手霜馬卡龍隨行盒 (10ml) ：50元 (限量15個)</t>
  </si>
  <si>
    <t>（已售完）【加購】迷迭香西洋梨果醬(110ml) : 150元 (限量6瓶) （已售完）</t>
  </si>
  <si>
    <t xml:space="preserve"> [第 1 列]</t>
  </si>
  <si>
    <t>組合商品(仍可加購單品)</t>
  </si>
  <si>
    <t>柚香和風沙拉醬、柚香胡麻醬</t>
  </si>
  <si>
    <t>需要</t>
  </si>
  <si>
    <t>謝佩珊</t>
  </si>
  <si>
    <t>xiep076@gmail.com</t>
  </si>
  <si>
    <t>0906940492</t>
  </si>
  <si>
    <t>現為 Jam for Love 的成員 (可享 7 折優惠！)</t>
  </si>
  <si>
    <t>現金交易</t>
  </si>
  <si>
    <t>12/18 (四) 12:00 - 13:00 暨大人文學院國比系辦</t>
  </si>
  <si>
    <t>林學晴</t>
  </si>
  <si>
    <t>hareko@gmail.com</t>
  </si>
  <si>
    <t>0931033917</t>
  </si>
  <si>
    <t>曾經購買 Jam for Love 的產品 (可享 9 折優惠！)</t>
  </si>
  <si>
    <t>匯款交易</t>
  </si>
  <si>
    <t>郵寄到家（未滿 $1000 運費 65；郵寄同一地址訂購 $1000 以上免運費) (寄出日期 12/14- 12/22)</t>
  </si>
  <si>
    <t>不需要</t>
  </si>
  <si>
    <t>陳以真</t>
  </si>
  <si>
    <t>janechengs8888@gmail.com</t>
  </si>
  <si>
    <t>0905064908</t>
  </si>
  <si>
    <t>12/17(三) 12:00 - 13:00 暨大人文學院國比系辦</t>
  </si>
  <si>
    <t>單品(將直接前往單品選項)</t>
  </si>
  <si>
    <t>戴子然</t>
  </si>
  <si>
    <t>s113212501@mail1.ncnu.edu.tw</t>
  </si>
  <si>
    <t>0988348083</t>
  </si>
  <si>
    <t>柚香胡麻醬*1+柚香沙拉醬*1</t>
  </si>
  <si>
    <t>陳怡竹</t>
  </si>
  <si>
    <t>chenyizhu2012@gmail.com</t>
  </si>
  <si>
    <t>0911188724</t>
  </si>
  <si>
    <t>曾經為 Jam for Love 的成員 (可享 85 折優惠！)</t>
  </si>
  <si>
    <t>640雲林縣斗六市內環路632號3樓</t>
  </si>
  <si>
    <t>柚香和風沙拉+柚香胡麻醬*1+1手工皂</t>
  </si>
  <si>
    <t>李金蓮</t>
  </si>
  <si>
    <t>lotus587444@gmail.com</t>
  </si>
  <si>
    <t>0952934212</t>
  </si>
  <si>
    <t>23654新北市土城區青雲路587巷44號4樓</t>
  </si>
  <si>
    <t>陳倚萱</t>
  </si>
  <si>
    <t>b0900335462@gmail.com</t>
  </si>
  <si>
    <t>0906685963</t>
  </si>
  <si>
    <t>方思評</t>
  </si>
  <si>
    <t>sihping.fang@gmail.com</t>
  </si>
  <si>
    <t>0912408175</t>
  </si>
  <si>
    <t>422001 台中市石岡區和盛街南眉巷128號</t>
  </si>
  <si>
    <t>王筠心</t>
  </si>
  <si>
    <t>s112402013@mail1.ncnu.edu.tw</t>
  </si>
  <si>
    <t>0965126582</t>
  </si>
  <si>
    <t>李永婷</t>
  </si>
  <si>
    <t>nina980327@gmail.com</t>
  </si>
  <si>
    <t>0921189303</t>
  </si>
  <si>
    <t>我是第一次購買 Jam for Love 的產品</t>
  </si>
  <si>
    <t>112013台北市北投區文化三路80號7樓</t>
  </si>
  <si>
    <t>林雅凰</t>
  </si>
  <si>
    <t>yahuanglin000@gmail.com</t>
  </si>
  <si>
    <t>0965185316</t>
  </si>
  <si>
    <t>想要多拿6份團隊介紹，謝謝！</t>
  </si>
  <si>
    <t>周君芳</t>
  </si>
  <si>
    <t>cfchou@mail.ncnu.edu.tw</t>
  </si>
  <si>
    <t>0955224863</t>
  </si>
  <si>
    <t>程秀華</t>
  </si>
  <si>
    <t>ch0920637466@gmail.com</t>
  </si>
  <si>
    <t>0920637466</t>
  </si>
  <si>
    <t>114042臺北市內湖區康寧路3段189巷73弄1號2樓</t>
  </si>
  <si>
    <t>李承恩</t>
  </si>
  <si>
    <t>s113402029@mail1.ncnu.edu.tw</t>
  </si>
  <si>
    <t>0937543106</t>
  </si>
  <si>
    <t>柚香白巧克力醬、柚香胡麻醬</t>
  </si>
  <si>
    <t>黃祺善</t>
  </si>
  <si>
    <t>2244wxef@gmail.com</t>
  </si>
  <si>
    <t>0965619217</t>
  </si>
  <si>
    <t>黃慧芬</t>
  </si>
  <si>
    <t>hopeselfh@mail3.hwsh.tc.edu.tw</t>
  </si>
  <si>
    <t>0912968901</t>
  </si>
  <si>
    <t>2份柚香醬組合,+3罐玫瑰花霜, 1900*0.9=1710  煩請寄408 台中市南屯區公益路二段298號  輔導室  黃慧芬收</t>
  </si>
  <si>
    <t>408 台中市南屯區公益路二段298號</t>
  </si>
  <si>
    <t>馮正萱</t>
  </si>
  <si>
    <t>summerice0726@gmail.com</t>
  </si>
  <si>
    <t>0956806099</t>
  </si>
  <si>
    <t>謝謝學弟妹們及老師還延續著這份愛心！</t>
  </si>
  <si>
    <t>300077新竹市北區東大路二段709號</t>
  </si>
  <si>
    <t>郭淑環</t>
  </si>
  <si>
    <t>ilong@apps.ghes.ntpc.edu.tw</t>
  </si>
  <si>
    <t>0922679867</t>
  </si>
  <si>
    <t>24260新北市新莊區新北大道七段738號11樓</t>
  </si>
  <si>
    <t>柚香和風*1 柚香胡麻*1</t>
  </si>
  <si>
    <t>余庭軒</t>
  </si>
  <si>
    <t>irisyu930928@gmail.com</t>
  </si>
  <si>
    <t>0971895528</t>
  </si>
  <si>
    <t>陳繐妤</t>
  </si>
  <si>
    <t>hinatachen0209@gmail.com</t>
  </si>
  <si>
    <t>0976099630</t>
  </si>
  <si>
    <t>埔里小川商店 (南投縣埔里鎮北環路 246 號巷 28 號)</t>
  </si>
  <si>
    <t>柚香和風沙拉醬*1、柚香胡麻醬*1</t>
  </si>
  <si>
    <t>林沐恩</t>
  </si>
  <si>
    <t>cute.moon0906@gmail.com</t>
  </si>
  <si>
    <t>0988302657</t>
  </si>
  <si>
    <t>陳祈安</t>
  </si>
  <si>
    <t>angelmarch013@gmail.com</t>
  </si>
  <si>
    <t>0966308960</t>
  </si>
  <si>
    <t>方琪雯</t>
  </si>
  <si>
    <t>fc8681655@gmail.com</t>
  </si>
  <si>
    <t>0979967562</t>
  </si>
  <si>
    <t>羅淑君</t>
  </si>
  <si>
    <t>sclo@ncnu.edu.tw</t>
  </si>
  <si>
    <t>0912325498</t>
  </si>
  <si>
    <t>謝謝老師及各位愛心人士，辛苦了，感恩!</t>
  </si>
  <si>
    <t>黃秋華</t>
  </si>
  <si>
    <t>huangchiuhua19@gmail.com</t>
  </si>
  <si>
    <t>0911130661</t>
  </si>
  <si>
    <t>由於訂購商品僅限暨大取貨，若無法暨大自取，是否能夠宅配(可自付郵資)?謝謝您(ps.故下一題向先填寫為宅配)</t>
  </si>
  <si>
    <t>632雲林顯虎尾鎮林森路二段328巷3弄22號</t>
  </si>
  <si>
    <t>田欣</t>
  </si>
  <si>
    <t>honeytien921122@gmail.com</t>
  </si>
  <si>
    <t>0987250307</t>
  </si>
  <si>
    <t>玉姿</t>
  </si>
  <si>
    <t>rosannalyt@gmail.com</t>
  </si>
  <si>
    <t>0928616677</t>
  </si>
  <si>
    <t>加購一瓶糊麻醬</t>
  </si>
  <si>
    <t>台大與曉雯老師面交</t>
  </si>
  <si>
    <t>王愛華</t>
  </si>
  <si>
    <t>beanmother35@gmail.com</t>
  </si>
  <si>
    <t>0933236702</t>
  </si>
  <si>
    <t>預祝大家聖誕快樂～🎄🫶❤️</t>
  </si>
  <si>
    <t>楊乙玲</t>
  </si>
  <si>
    <t>yyltaiwan@gmail.com</t>
  </si>
  <si>
    <t>0963268993</t>
  </si>
  <si>
    <t>謝謝大家付出</t>
  </si>
  <si>
    <t>813高雄市左營區海功路55號</t>
  </si>
  <si>
    <t>鄭以萱</t>
  </si>
  <si>
    <t>ihcheng@ncnu.edu.tw</t>
  </si>
  <si>
    <t>0988285830</t>
  </si>
  <si>
    <t>洪小萍</t>
  </si>
  <si>
    <t>hphung.taiwan@gmail.com</t>
  </si>
  <si>
    <t>0926195866</t>
  </si>
  <si>
    <t>陳冠竹</t>
  </si>
  <si>
    <t>chen03120216@yahoo.com</t>
  </si>
  <si>
    <t>0955696031</t>
  </si>
  <si>
    <t>80053高雄市新興區南華橫二路61號</t>
  </si>
  <si>
    <t>曾育綺</t>
  </si>
  <si>
    <t>b0930129103@gmail.com</t>
  </si>
  <si>
    <t>0930129103</t>
  </si>
  <si>
    <t>柚香和風沙拉醬*1, 柚香胡麻醬*1</t>
  </si>
  <si>
    <t>李慧琪</t>
  </si>
  <si>
    <t>leechi12310@gmail.com</t>
  </si>
  <si>
    <t>0912752060</t>
  </si>
  <si>
    <t>420001 台中市豐原區瑞興路50-2號5樓之1</t>
  </si>
  <si>
    <t>謝靜雯</t>
  </si>
  <si>
    <t>kathelin33@ttps.hc.edu.tw</t>
  </si>
  <si>
    <t>0930774882</t>
  </si>
  <si>
    <t>匯款帳號再確認</t>
  </si>
  <si>
    <t>351苗栗縣頭份市華夏路64號</t>
  </si>
  <si>
    <t>和風*3、芝麻*3</t>
  </si>
  <si>
    <t>高滇玲</t>
  </si>
  <si>
    <t>kaoashley@gmail.com</t>
  </si>
  <si>
    <t>0979527857</t>
  </si>
  <si>
    <t>胡麻*2、和風*1</t>
  </si>
  <si>
    <t>楊繐鳳</t>
  </si>
  <si>
    <t>jsjuan@ncnu.edu.tw</t>
  </si>
  <si>
    <t>0980969365</t>
  </si>
  <si>
    <t>柚香白巧克力醬*1，柚香和風沙拉醬*2，柚香胡麻醬*1</t>
  </si>
  <si>
    <t>柚香和風沙拉醬*1，柚香胡麻醬*1</t>
  </si>
  <si>
    <t>田長怡</t>
  </si>
  <si>
    <t>a6838916@gmail.com</t>
  </si>
  <si>
    <t>0920250307</t>
  </si>
  <si>
    <t>任家鋆</t>
  </si>
  <si>
    <t>tr.justinjen@gmail.com</t>
  </si>
  <si>
    <t>0966591038</t>
  </si>
  <si>
    <t>06819</t>
  </si>
  <si>
    <t>804403 高雄市鼓山區美術南三路227號17樓</t>
  </si>
  <si>
    <t>鄭郁家(雨情)</t>
  </si>
  <si>
    <t>adpaula881524@gmail.com</t>
  </si>
  <si>
    <t>0912329320</t>
  </si>
  <si>
    <t>07333</t>
  </si>
  <si>
    <t>鄭郁家</t>
  </si>
  <si>
    <t>陳小芬</t>
  </si>
  <si>
    <t>jessica@ncnu.edu.tw</t>
  </si>
  <si>
    <t>0920720520</t>
  </si>
  <si>
    <t>1組</t>
  </si>
  <si>
    <t>黃久珍</t>
  </si>
  <si>
    <t>alexjoann@gmail.com</t>
  </si>
  <si>
    <t>0921997119</t>
  </si>
  <si>
    <t>#64217</t>
  </si>
  <si>
    <t>23143新北市新店區北新路二段266號19樓之一</t>
  </si>
  <si>
    <t>程惠予</t>
  </si>
  <si>
    <t>sr2627172825@gmail.com</t>
  </si>
  <si>
    <t>0912001780</t>
  </si>
  <si>
    <t>中華郵政 12708</t>
  </si>
  <si>
    <t>吳齊恆</t>
  </si>
  <si>
    <t>a0983178879@gmail.com</t>
  </si>
  <si>
    <t>0983178879</t>
  </si>
  <si>
    <t>陳慈文</t>
  </si>
  <si>
    <t>a0968668459@gmail.com</t>
  </si>
  <si>
    <t>0968668459</t>
  </si>
  <si>
    <t>謝舒凱</t>
  </si>
  <si>
    <t>shukai@gmail.com</t>
  </si>
  <si>
    <t>0922727369</t>
  </si>
  <si>
    <t>柚香胡麻醬*4</t>
  </si>
  <si>
    <t>崔慈悌</t>
  </si>
  <si>
    <t>sweet326@ms51.hinet.net</t>
  </si>
  <si>
    <t>0911002309</t>
  </si>
  <si>
    <t>830高雄市鳳山區和德街37號7樓</t>
  </si>
  <si>
    <t>柚香白巧克力醬、柚香白巧克力醬</t>
  </si>
  <si>
    <t>曾宥鈞</t>
  </si>
  <si>
    <t>Jung07430@gmail.com</t>
  </si>
  <si>
    <t>0916786084</t>
  </si>
  <si>
    <t>Ich bin member of marmalade für liebe.</t>
  </si>
  <si>
    <t>施碧霞</t>
  </si>
  <si>
    <t>aptxkelly@gmail.com</t>
  </si>
  <si>
    <t>0920837992</t>
  </si>
  <si>
    <t>234004  新北市永和區環河西路一段51巷20弄6號7樓之1</t>
  </si>
  <si>
    <t>楊雅茵</t>
  </si>
  <si>
    <t>包裹配送後直接交給草湖國小警衛即可</t>
  </si>
  <si>
    <t>李明洋（老師）</t>
  </si>
  <si>
    <t>412026  台中市大里區西湖路32號（草湖國小）</t>
  </si>
  <si>
    <t>柚香和風沙拉醬x1、柚香胡麻醬x1</t>
  </si>
  <si>
    <t>邱博愷</t>
  </si>
  <si>
    <t>chou59420@gmail.com</t>
  </si>
  <si>
    <t>0937513111</t>
  </si>
  <si>
    <t>李思璇</t>
  </si>
  <si>
    <t>cattleegret1115@gmail.com</t>
  </si>
  <si>
    <t>0958418636</t>
  </si>
  <si>
    <t>廖靚惠</t>
  </si>
  <si>
    <t>sophia950622@gmail.com</t>
  </si>
  <si>
    <t>0911370800</t>
  </si>
  <si>
    <t>柚香白巧克力醬*2</t>
  </si>
  <si>
    <t>廖建禹</t>
  </si>
  <si>
    <t>l0985941014@gmail.com</t>
  </si>
  <si>
    <t>0985941014</t>
  </si>
  <si>
    <t>陳瑢真</t>
  </si>
  <si>
    <t>jccsato2015@gmail.com</t>
  </si>
  <si>
    <t>0920051475</t>
  </si>
  <si>
    <t>面交小文老師</t>
  </si>
  <si>
    <t>李晨妤</t>
  </si>
  <si>
    <t>s113402023@mail1.ncnu.edu.tw</t>
  </si>
  <si>
    <t>0928279703</t>
  </si>
  <si>
    <t>柚香胡麻醬*2</t>
  </si>
  <si>
    <t>林又萱</t>
  </si>
  <si>
    <t>s0909386347@gmail.com</t>
  </si>
  <si>
    <t>0909386347</t>
  </si>
  <si>
    <t>辛苦了！</t>
  </si>
  <si>
    <t>632雲林縣虎尾鎮林森路二段328巷3弄22號</t>
  </si>
  <si>
    <t>莊芷綾</t>
  </si>
  <si>
    <t>hailey200514@gmail.com</t>
  </si>
  <si>
    <t>0966261177</t>
  </si>
  <si>
    <t>蔡富緯</t>
  </si>
  <si>
    <t>mike603099@gmail.com</t>
  </si>
  <si>
    <t>0987395102</t>
  </si>
  <si>
    <t>吳宥璇</t>
  </si>
  <si>
    <t>miwu@mail.ncnu.edu.tw</t>
  </si>
  <si>
    <t>0925858363</t>
  </si>
  <si>
    <t>徐世瑾</t>
  </si>
  <si>
    <t>angelaschsu14@gmail.com</t>
  </si>
  <si>
    <t>0968932270</t>
  </si>
  <si>
    <t>總金額1090元，請以 mail與我確認後，我再匯款，謝謝</t>
  </si>
  <si>
    <t>30742 新竹縣芎林鄉石潭村石壁潭118之2號</t>
  </si>
  <si>
    <t>張彩雲</t>
  </si>
  <si>
    <t>kathelin33@gmail.com</t>
  </si>
  <si>
    <t>0976604265</t>
  </si>
  <si>
    <t>與謝靜雯一同寄即可，住址：苗栗縣頭份市田寮里華夏路64號 0916298658</t>
  </si>
  <si>
    <t>351009 苗栗縣頭份市田寮里華夏路64號 0916298658</t>
  </si>
  <si>
    <t>林穅慧</t>
  </si>
  <si>
    <t>kanghui1004@gmail.com</t>
  </si>
  <si>
    <t>0921218634</t>
  </si>
  <si>
    <t>71072臺南市永康區蔦松一街182號</t>
  </si>
  <si>
    <t>黃怡慈</t>
  </si>
  <si>
    <t>s112106004@mail1.ncnu.edu.tw</t>
  </si>
  <si>
    <t>0916174806</t>
  </si>
  <si>
    <t>魏偉安</t>
  </si>
  <si>
    <t>tc96988314@gmail.com</t>
  </si>
  <si>
    <t>0909029808</t>
  </si>
  <si>
    <t>柚香和風沙拉醬x2、柚香胡麻醬x2</t>
  </si>
  <si>
    <t>呂佳蓉</t>
  </si>
  <si>
    <t>chiarung@gmail.com</t>
  </si>
  <si>
    <t>0987049855</t>
  </si>
  <si>
    <t>期待胡麻醬與和風醬喔!</t>
  </si>
  <si>
    <t>03931</t>
  </si>
  <si>
    <t>柚香和風沙拉醬*2、柚香胡麻醬*2</t>
  </si>
  <si>
    <t>范雅婷</t>
  </si>
  <si>
    <t>doris0702@gmail.com</t>
  </si>
  <si>
    <t>0921766140</t>
  </si>
  <si>
    <t>柚香和風沙拉醬*2、柚香胡麻醬*2、柚香護手霜 *2</t>
  </si>
  <si>
    <t>王曾敬梅</t>
  </si>
  <si>
    <t>chingmei.tseng@gmail.com</t>
  </si>
  <si>
    <t>0987528687</t>
  </si>
  <si>
    <t>謝謝曉雯師帶領團隊散播歡樂散播愛 ❤️</t>
  </si>
  <si>
    <t>柚香和風
柚香胡麻</t>
  </si>
  <si>
    <t>陳玉梅</t>
  </si>
  <si>
    <t>yumeifriend@gmail.com</t>
  </si>
  <si>
    <t>0963930197</t>
  </si>
  <si>
    <t>11472台北市內湖區成功路二段371號11樓之一</t>
  </si>
  <si>
    <t>柚香白巧克力醬+ 柚香和風沙拉醬</t>
  </si>
  <si>
    <t>Momo</t>
  </si>
  <si>
    <t>nomofika@gmail.com</t>
  </si>
  <si>
    <t>0907349025</t>
  </si>
  <si>
    <t>林恩芸</t>
  </si>
  <si>
    <t>s114402015@mail1.ncnu.edu.tw</t>
  </si>
  <si>
    <t>0966303590</t>
  </si>
  <si>
    <t>柚香白巧可力*1、柚香胡麻醬*2、和風沙拉醬*1</t>
  </si>
  <si>
    <t>陳怡廷</t>
  </si>
  <si>
    <t>et00064@gmail.com</t>
  </si>
  <si>
    <t>0928987532</t>
  </si>
  <si>
    <t>陳立文</t>
  </si>
  <si>
    <t>a0987200387@gmail.com</t>
  </si>
  <si>
    <t>0987200387</t>
  </si>
  <si>
    <t>540003南投巿光華里光華四路二號</t>
  </si>
  <si>
    <t>余曉鳳</t>
  </si>
  <si>
    <t>monofisch@gmail.com</t>
  </si>
  <si>
    <t>0922816212</t>
  </si>
  <si>
    <t>和風沙*1、胡麻醬*1</t>
  </si>
  <si>
    <t>Jam for Love</t>
  </si>
  <si>
    <t>做為贈品給支持Jam for Love的相關人士</t>
  </si>
  <si>
    <t>胡麻*5、白巧克力*1、和風*4</t>
  </si>
  <si>
    <t>和風*2、胡麻*2</t>
  </si>
  <si>
    <t>普羅</t>
  </si>
  <si>
    <t>ninayjt@gmail.com</t>
  </si>
  <si>
    <t>0953041522</t>
  </si>
  <si>
    <t>宜蘭與曉雯老師面交</t>
  </si>
  <si>
    <t xml:space="preserve">和風*4、胡麻*4 </t>
  </si>
  <si>
    <t>余曉雯</t>
  </si>
  <si>
    <t>葉愛憫</t>
  </si>
  <si>
    <t>jovesabinna@gmail.com</t>
  </si>
  <si>
    <t>0921168386</t>
  </si>
  <si>
    <t>李小菁</t>
  </si>
  <si>
    <t>siaojing1201@gmail.com</t>
  </si>
  <si>
    <t>0911007101</t>
  </si>
  <si>
    <t>甘佳蓁</t>
  </si>
  <si>
    <t>axs2250251@gmail.com</t>
  </si>
  <si>
    <t>0975911775</t>
  </si>
  <si>
    <t>劉茜妮</t>
  </si>
  <si>
    <t>ginnyliu0704@gmail.com</t>
  </si>
  <si>
    <t>0968082420</t>
  </si>
  <si>
    <t>黃靖惟</t>
  </si>
  <si>
    <t>Winnie.huang.061215@gmail.com</t>
  </si>
  <si>
    <t>0971898175</t>
  </si>
  <si>
    <t>411036台中市太平區光德路249巷36號</t>
  </si>
  <si>
    <t>涂英雪</t>
  </si>
  <si>
    <t>judithtuwas@gmail.com</t>
  </si>
  <si>
    <t>0937431801</t>
  </si>
  <si>
    <t>434028 台中市龍井區沙田路五段321號8樓之2</t>
  </si>
  <si>
    <t>蘇聖涵</t>
  </si>
  <si>
    <t>shenghansu711@gmail.com</t>
  </si>
  <si>
    <t>0963258632</t>
  </si>
  <si>
    <t>03362</t>
  </si>
  <si>
    <t>新竹市華德福實驗學校蘇聖涵</t>
  </si>
  <si>
    <t>300102新竹市香山區華德福街160巷25號</t>
  </si>
  <si>
    <t>白巧*1、和風*1</t>
  </si>
  <si>
    <t>游淑芬</t>
  </si>
  <si>
    <t>sufen.abula@gmail.com</t>
  </si>
  <si>
    <t>0920638759</t>
  </si>
  <si>
    <r>
      <rPr>
        <rFont val="Arial"/>
        <color theme="1"/>
        <sz val="17.0"/>
      </rPr>
      <t>組合+</t>
    </r>
    <r>
      <rPr>
        <rFont val="Arial"/>
        <color rgb="FFFF00FF"/>
        <sz val="17.0"/>
      </rPr>
      <t>加購</t>
    </r>
    <r>
      <rPr>
        <rFont val="Arial"/>
        <color theme="1"/>
        <sz val="17.0"/>
      </rPr>
      <t>+</t>
    </r>
    <r>
      <rPr>
        <rFont val="Arial"/>
        <color rgb="FF34A853"/>
        <sz val="17.0"/>
      </rPr>
      <t>單購</t>
    </r>
    <r>
      <rPr>
        <rFont val="Arial"/>
        <color theme="1"/>
        <sz val="17.0"/>
      </rPr>
      <t>+</t>
    </r>
    <r>
      <rPr>
        <rFont val="Arial"/>
        <color rgb="FF0000FF"/>
        <sz val="17.0"/>
      </rPr>
      <t>老師</t>
    </r>
  </si>
  <si>
    <t>總計</t>
  </si>
  <si>
    <t>柚香白巧克力醬</t>
  </si>
  <si>
    <r>
      <rPr>
        <rFont val="Arial"/>
        <color theme="1"/>
        <sz val="16.0"/>
      </rPr>
      <t>62+11+1+</t>
    </r>
    <r>
      <rPr>
        <rFont val="Arial"/>
        <color rgb="FF0000FF"/>
        <sz val="16.0"/>
      </rPr>
      <t>8</t>
    </r>
  </si>
  <si>
    <t>柚香和風沙拉醬</t>
  </si>
  <si>
    <r>
      <rPr>
        <rFont val="Arial"/>
        <color theme="1"/>
        <sz val="16.0"/>
      </rPr>
      <t>62+30(2)+8(3)+</t>
    </r>
    <r>
      <rPr>
        <rFont val="Arial"/>
        <color rgb="FF0000FF"/>
        <sz val="16.0"/>
      </rPr>
      <t>13</t>
    </r>
    <r>
      <rPr>
        <rFont val="Arial"/>
        <color theme="1"/>
        <sz val="16.0"/>
      </rPr>
      <t>+待確認</t>
    </r>
  </si>
  <si>
    <t>柚香胡麻醬</t>
  </si>
  <si>
    <r>
      <rPr>
        <rFont val="Arial"/>
        <color theme="1"/>
        <sz val="16.0"/>
      </rPr>
      <t>62+34(2)+13(3)+</t>
    </r>
    <r>
      <rPr>
        <rFont val="Arial"/>
        <color rgb="FF0000FF"/>
        <sz val="16.0"/>
      </rPr>
      <t>13</t>
    </r>
    <r>
      <rPr>
        <rFont val="Arial"/>
        <color theme="1"/>
        <sz val="16.0"/>
      </rPr>
      <t>+待確認</t>
    </r>
  </si>
  <si>
    <t>123?</t>
  </si>
  <si>
    <t>手工皂</t>
  </si>
  <si>
    <r>
      <rPr>
        <rFont val="Arial"/>
        <color theme="1"/>
        <sz val="16.0"/>
      </rPr>
      <t>66(H)+</t>
    </r>
    <r>
      <rPr>
        <rFont val="Arial"/>
        <color rgb="FF34A853"/>
        <sz val="16.0"/>
      </rPr>
      <t>15(V)</t>
    </r>
    <r>
      <rPr>
        <rFont val="Arial"/>
        <color theme="1"/>
        <sz val="16.0"/>
      </rPr>
      <t>+13(F)+</t>
    </r>
    <r>
      <rPr>
        <rFont val="Arial"/>
        <color rgb="FFFF00FF"/>
        <sz val="16.0"/>
      </rPr>
      <t>47</t>
    </r>
    <r>
      <rPr>
        <rFont val="Arial"/>
        <color theme="1"/>
        <sz val="16.0"/>
      </rPr>
      <t>+</t>
    </r>
    <r>
      <rPr>
        <rFont val="Arial"/>
        <color rgb="FF0000FF"/>
        <sz val="16.0"/>
      </rPr>
      <t>4</t>
    </r>
  </si>
  <si>
    <t>柚香護手霜（50ml）</t>
  </si>
  <si>
    <r>
      <rPr>
        <rFont val="Arial"/>
        <color rgb="FF34A853"/>
        <sz val="16.0"/>
      </rPr>
      <t>18</t>
    </r>
    <r>
      <rPr>
        <rFont val="Arial"/>
        <color theme="1"/>
        <sz val="16.0"/>
      </rPr>
      <t>+44+</t>
    </r>
    <r>
      <rPr>
        <rFont val="Arial"/>
        <color rgb="FFFF00FF"/>
        <sz val="16.0"/>
      </rPr>
      <t>26</t>
    </r>
    <r>
      <rPr>
        <rFont val="Arial"/>
        <color theme="1"/>
        <sz val="16.0"/>
      </rPr>
      <t>+</t>
    </r>
    <r>
      <rPr>
        <rFont val="Arial"/>
        <color rgb="FF0000FF"/>
        <sz val="16.0"/>
      </rPr>
      <t>7</t>
    </r>
  </si>
  <si>
    <t>金盞花乳霜（40ml）</t>
  </si>
  <si>
    <r>
      <rPr>
        <rFont val="Arial"/>
        <color rgb="FFFF00FF"/>
        <sz val="16.0"/>
      </rPr>
      <t>27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5</t>
    </r>
    <r>
      <rPr>
        <rFont val="Arial"/>
        <color theme="1"/>
        <sz val="16.0"/>
      </rPr>
      <t>=32</t>
    </r>
  </si>
  <si>
    <t>玫瑰花乳霜（40ml）</t>
  </si>
  <si>
    <r>
      <rPr>
        <rFont val="Arial"/>
        <color rgb="FFFF00FF"/>
        <sz val="16.0"/>
      </rPr>
      <t>25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3</t>
    </r>
    <r>
      <rPr>
        <rFont val="Arial"/>
        <color theme="1"/>
        <sz val="16.0"/>
      </rPr>
      <t>=28</t>
    </r>
  </si>
  <si>
    <t>柚香護手霜（100ml）</t>
  </si>
  <si>
    <t>柚香護唇膏（15ml）</t>
  </si>
  <si>
    <r>
      <rPr>
        <rFont val="Arial"/>
        <color rgb="FFFF00FF"/>
        <sz val="16.0"/>
      </rPr>
      <t>1</t>
    </r>
    <r>
      <rPr>
        <rFont val="Arial"/>
        <color theme="1"/>
        <sz val="16.0"/>
      </rPr>
      <t>+0+</t>
    </r>
    <r>
      <rPr>
        <rFont val="Arial"/>
        <color rgb="FFFF00FF"/>
        <sz val="16.0"/>
      </rPr>
      <t>99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11</t>
    </r>
    <r>
      <rPr>
        <rFont val="Arial"/>
        <color theme="1"/>
        <sz val="16.0"/>
      </rPr>
      <t>+3=</t>
    </r>
  </si>
  <si>
    <t>洗顏皂</t>
  </si>
  <si>
    <t>手工洗頭皂</t>
  </si>
  <si>
    <r>
      <rPr>
        <rFont val="Arial"/>
        <color rgb="FFFF00FF"/>
        <sz val="16.0"/>
      </rPr>
      <t>21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1</t>
    </r>
    <r>
      <rPr>
        <rFont val="Arial"/>
        <color theme="1"/>
        <sz val="16.0"/>
      </rPr>
      <t>=22</t>
    </r>
  </si>
  <si>
    <t>德國冷狗蛋糕(濃醇黑巧克力)</t>
  </si>
  <si>
    <r>
      <rPr>
        <rFont val="Arial"/>
        <color theme="1"/>
        <sz val="16.0"/>
      </rPr>
      <t>0+0+</t>
    </r>
    <r>
      <rPr>
        <rFont val="Arial"/>
        <color rgb="FFFF00FF"/>
        <sz val="16.0"/>
      </rPr>
      <t>41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17</t>
    </r>
    <r>
      <rPr>
        <rFont val="Arial"/>
        <color theme="1"/>
        <sz val="16.0"/>
      </rPr>
      <t>=58</t>
    </r>
  </si>
  <si>
    <t>德國冷狗蛋糕(柚香白巧克力)</t>
  </si>
  <si>
    <r>
      <rPr>
        <rFont val="Arial"/>
        <color theme="1"/>
        <sz val="16.0"/>
      </rPr>
      <t>0+0+</t>
    </r>
    <r>
      <rPr>
        <rFont val="Arial"/>
        <color rgb="FFFF00FF"/>
        <sz val="16.0"/>
      </rPr>
      <t>36</t>
    </r>
    <r>
      <rPr>
        <rFont val="Arial"/>
        <color theme="1"/>
        <sz val="16.0"/>
      </rPr>
      <t>+</t>
    </r>
    <r>
      <rPr>
        <rFont val="Arial"/>
        <color rgb="FF34A853"/>
        <sz val="16.0"/>
      </rPr>
      <t>19</t>
    </r>
    <r>
      <rPr>
        <rFont val="Arial"/>
        <color theme="1"/>
        <sz val="16.0"/>
      </rPr>
      <t>=55</t>
    </r>
  </si>
  <si>
    <t>迷迭香西洋梨果醬</t>
  </si>
  <si>
    <r>
      <rPr>
        <rFont val="Arial"/>
        <color theme="1"/>
        <sz val="16.0"/>
      </rPr>
      <t>0+</t>
    </r>
    <r>
      <rPr>
        <rFont val="Arial"/>
        <color rgb="FFFF00FF"/>
        <sz val="16.0"/>
      </rPr>
      <t>10</t>
    </r>
    <r>
      <rPr>
        <rFont val="Arial"/>
        <color theme="1"/>
        <sz val="16.0"/>
      </rPr>
      <t>=10</t>
    </r>
  </si>
  <si>
    <t>感謝卡</t>
  </si>
  <si>
    <t>聖誕卡</t>
  </si>
  <si>
    <t>團隊介紹</t>
  </si>
  <si>
    <t>柚香護手霜馬卡龍隨行盒(10ml)</t>
  </si>
  <si>
    <r>
      <rPr>
        <rFont val="Arial"/>
        <color theme="1"/>
        <sz val="16.0"/>
      </rPr>
      <t>0+</t>
    </r>
    <r>
      <rPr>
        <rFont val="Arial"/>
        <color rgb="FFFF00FF"/>
        <sz val="16.0"/>
      </rPr>
      <t>21</t>
    </r>
    <r>
      <rPr>
        <rFont val="Arial"/>
        <color theme="1"/>
        <sz val="16.0"/>
      </rPr>
      <t>=21</t>
    </r>
  </si>
  <si>
    <t>台大</t>
  </si>
  <si>
    <t>宜蘭</t>
  </si>
  <si>
    <t>358006苗栗縣苑裡鎮舊社里2鄰25-20號</t>
  </si>
  <si>
    <t>柚香和風*1，柚香胡麻*1</t>
  </si>
  <si>
    <t>訂單不明</t>
  </si>
  <si>
    <t>（等回覆）</t>
  </si>
  <si>
    <t>通知沒有柚香護手霜100ml</t>
  </si>
  <si>
    <t>（皆已通知等回覆）</t>
  </si>
  <si>
    <t>地址不明</t>
  </si>
  <si>
    <r>
      <rPr>
        <rFont val="Arial"/>
        <color theme="1"/>
        <sz val="7.0"/>
      </rPr>
      <t>組合+</t>
    </r>
    <r>
      <rPr>
        <rFont val="Arial"/>
        <color rgb="FFFF00FF"/>
        <sz val="7.0"/>
      </rPr>
      <t>加購</t>
    </r>
    <r>
      <rPr>
        <rFont val="Arial"/>
        <color theme="1"/>
        <sz val="7.0"/>
      </rPr>
      <t>+</t>
    </r>
    <r>
      <rPr>
        <rFont val="Arial"/>
        <color rgb="FF34A853"/>
        <sz val="7.0"/>
      </rPr>
      <t>單購</t>
    </r>
    <r>
      <rPr>
        <rFont val="Arial"/>
        <color theme="1"/>
        <sz val="7.0"/>
      </rPr>
      <t>+</t>
    </r>
    <r>
      <rPr>
        <rFont val="Arial"/>
        <color rgb="FF0000FF"/>
        <sz val="7.0"/>
      </rPr>
      <t>老師</t>
    </r>
  </si>
  <si>
    <t>62+11+1+=73</t>
  </si>
  <si>
    <t>62+30(2)+8(3)+&amp;待確認</t>
  </si>
  <si>
    <t>92?</t>
  </si>
  <si>
    <r>
      <rPr>
        <rFont val="Arial"/>
        <color theme="1"/>
        <sz val="9.0"/>
      </rPr>
      <t>62+34(2)+13(3)+1+</t>
    </r>
    <r>
      <rPr>
        <rFont val="Arial"/>
        <color rgb="FF0000FF"/>
        <sz val="9.0"/>
      </rPr>
      <t>13</t>
    </r>
    <r>
      <rPr>
        <rFont val="Arial"/>
        <color theme="1"/>
        <sz val="9.0"/>
      </rPr>
      <t>＆待確認</t>
    </r>
  </si>
  <si>
    <t>55?</t>
  </si>
  <si>
    <r>
      <rPr>
        <rFont val="Arial"/>
        <color theme="1"/>
        <sz val="9.0"/>
      </rPr>
      <t>66(H)+</t>
    </r>
    <r>
      <rPr>
        <rFont val="Arial"/>
        <color rgb="FF34A853"/>
        <sz val="9.0"/>
      </rPr>
      <t>15(V)</t>
    </r>
    <r>
      <rPr>
        <rFont val="Arial"/>
        <color theme="1"/>
        <sz val="9.0"/>
      </rPr>
      <t>+13(F)+</t>
    </r>
    <r>
      <rPr>
        <rFont val="Arial"/>
        <color rgb="FFFF00FF"/>
        <sz val="9.0"/>
      </rPr>
      <t>47</t>
    </r>
    <r>
      <rPr>
        <rFont val="Arial"/>
        <color theme="1"/>
        <sz val="9.0"/>
      </rPr>
      <t>+</t>
    </r>
    <r>
      <rPr>
        <rFont val="Arial"/>
        <color rgb="FF0000FF"/>
        <sz val="9.0"/>
      </rPr>
      <t>4</t>
    </r>
  </si>
  <si>
    <r>
      <rPr>
        <rFont val="Arial"/>
        <color rgb="FF34A853"/>
        <sz val="9.0"/>
      </rPr>
      <t>18</t>
    </r>
    <r>
      <rPr>
        <rFont val="Arial"/>
        <color theme="1"/>
        <sz val="9.0"/>
      </rPr>
      <t>+44+</t>
    </r>
    <r>
      <rPr>
        <rFont val="Arial"/>
        <color rgb="FFFF00FF"/>
        <sz val="9.0"/>
      </rPr>
      <t>26</t>
    </r>
  </si>
  <si>
    <r>
      <rPr>
        <rFont val="Arial"/>
        <color rgb="FFFF00FF"/>
        <sz val="9.0"/>
      </rPr>
      <t>27</t>
    </r>
    <r>
      <rPr>
        <rFont val="Arial"/>
        <color theme="1"/>
        <sz val="9.0"/>
      </rPr>
      <t>+</t>
    </r>
    <r>
      <rPr>
        <rFont val="Arial"/>
        <color rgb="FF34A853"/>
        <sz val="9.0"/>
      </rPr>
      <t>5</t>
    </r>
    <r>
      <rPr>
        <rFont val="Arial"/>
        <color theme="1"/>
        <sz val="9.0"/>
      </rPr>
      <t>=32</t>
    </r>
  </si>
  <si>
    <r>
      <rPr>
        <rFont val="Arial"/>
        <color rgb="FFFF00FF"/>
        <sz val="9.0"/>
      </rPr>
      <t>25</t>
    </r>
    <r>
      <rPr>
        <rFont val="Arial"/>
        <color theme="1"/>
        <sz val="9.0"/>
      </rPr>
      <t>+</t>
    </r>
    <r>
      <rPr>
        <rFont val="Arial"/>
        <color rgb="FF34A853"/>
        <sz val="9.0"/>
      </rPr>
      <t>3</t>
    </r>
    <r>
      <rPr>
        <rFont val="Arial"/>
        <color theme="1"/>
        <sz val="9.0"/>
      </rPr>
      <t>=28</t>
    </r>
  </si>
  <si>
    <r>
      <rPr>
        <rFont val="Arial"/>
        <color rgb="FFFF00FF"/>
        <sz val="9.0"/>
      </rPr>
      <t>1</t>
    </r>
    <r>
      <rPr>
        <rFont val="Arial"/>
        <color theme="1"/>
        <sz val="9.0"/>
      </rPr>
      <t>+0+</t>
    </r>
    <r>
      <rPr>
        <rFont val="Arial"/>
        <color rgb="FFFF00FF"/>
        <sz val="9.0"/>
      </rPr>
      <t>99</t>
    </r>
    <r>
      <rPr>
        <rFont val="Arial"/>
        <color theme="1"/>
        <sz val="9.0"/>
      </rPr>
      <t>+</t>
    </r>
    <r>
      <rPr>
        <rFont val="Arial"/>
        <color rgb="FF34A853"/>
        <sz val="9.0"/>
      </rPr>
      <t>11</t>
    </r>
    <r>
      <rPr>
        <rFont val="Arial"/>
        <color theme="1"/>
        <sz val="9.0"/>
      </rPr>
      <t>=111</t>
    </r>
  </si>
  <si>
    <r>
      <rPr>
        <rFont val="Arial"/>
        <color rgb="FFFF00FF"/>
        <sz val="9.0"/>
      </rPr>
      <t>21</t>
    </r>
    <r>
      <rPr>
        <rFont val="Arial"/>
        <color theme="1"/>
        <sz val="9.0"/>
      </rPr>
      <t>+</t>
    </r>
    <r>
      <rPr>
        <rFont val="Arial"/>
        <color rgb="FF34A853"/>
        <sz val="9.0"/>
      </rPr>
      <t>1</t>
    </r>
    <r>
      <rPr>
        <rFont val="Arial"/>
        <color theme="1"/>
        <sz val="9.0"/>
      </rPr>
      <t>=22</t>
    </r>
  </si>
  <si>
    <r>
      <rPr>
        <rFont val="Arial"/>
        <color theme="1"/>
        <sz val="9.0"/>
      </rPr>
      <t>0+0+</t>
    </r>
    <r>
      <rPr>
        <rFont val="Arial"/>
        <color rgb="FFFF00FF"/>
        <sz val="9.0"/>
      </rPr>
      <t>41</t>
    </r>
    <r>
      <rPr>
        <rFont val="Arial"/>
        <color theme="1"/>
        <sz val="9.0"/>
      </rPr>
      <t>+</t>
    </r>
    <r>
      <rPr>
        <rFont val="Arial"/>
        <color rgb="FF34A853"/>
        <sz val="9.0"/>
      </rPr>
      <t>17</t>
    </r>
    <r>
      <rPr>
        <rFont val="Arial"/>
        <color theme="1"/>
        <sz val="9.0"/>
      </rPr>
      <t>=58</t>
    </r>
  </si>
  <si>
    <r>
      <rPr>
        <rFont val="Arial"/>
        <color theme="1"/>
        <sz val="9.0"/>
      </rPr>
      <t>0+0+</t>
    </r>
    <r>
      <rPr>
        <rFont val="Arial"/>
        <color rgb="FFFF00FF"/>
        <sz val="9.0"/>
      </rPr>
      <t>36</t>
    </r>
    <r>
      <rPr>
        <rFont val="Arial"/>
        <color theme="1"/>
        <sz val="9.0"/>
      </rPr>
      <t>+</t>
    </r>
    <r>
      <rPr>
        <rFont val="Arial"/>
        <color rgb="FF34A853"/>
        <sz val="9.0"/>
      </rPr>
      <t>19</t>
    </r>
    <r>
      <rPr>
        <rFont val="Arial"/>
        <color theme="1"/>
        <sz val="9.0"/>
      </rPr>
      <t>=55</t>
    </r>
  </si>
  <si>
    <r>
      <rPr>
        <rFont val="Arial"/>
        <color theme="1"/>
        <sz val="9.0"/>
      </rPr>
      <t>0+</t>
    </r>
    <r>
      <rPr>
        <rFont val="Arial"/>
        <color rgb="FFFF00FF"/>
        <sz val="9.0"/>
      </rPr>
      <t>10</t>
    </r>
    <r>
      <rPr>
        <rFont val="Arial"/>
        <color theme="1"/>
        <sz val="9.0"/>
      </rPr>
      <t>=10</t>
    </r>
  </si>
  <si>
    <r>
      <rPr>
        <rFont val="Arial"/>
        <color theme="1"/>
        <sz val="9.0"/>
      </rPr>
      <t>0+</t>
    </r>
    <r>
      <rPr>
        <rFont val="Arial"/>
        <color rgb="FFFF00FF"/>
        <sz val="9.0"/>
      </rPr>
      <t>21</t>
    </r>
    <r>
      <rPr>
        <rFont val="Arial"/>
        <color theme="1"/>
        <sz val="9.0"/>
      </rPr>
      <t>=21</t>
    </r>
  </si>
  <si>
    <t>顧客姓名</t>
  </si>
  <si>
    <t>訂購商品</t>
  </si>
  <si>
    <t>總數</t>
  </si>
  <si>
    <t>宜容</t>
  </si>
  <si>
    <t>3醬(白巧醬*1、胡麻醬*1、和風醬*1)</t>
  </si>
  <si>
    <t>欣姿</t>
  </si>
  <si>
    <t>白巧醬*1、胡麻醬*1、護手霜*1</t>
  </si>
  <si>
    <t>玫琪</t>
  </si>
  <si>
    <t>鈺薇</t>
  </si>
  <si>
    <t>2醬2組(胡麻醬*2、和風醬*2、護手霜*2) 護唇膏*3</t>
  </si>
  <si>
    <t>曉萍</t>
  </si>
  <si>
    <t>手工皂*3</t>
  </si>
  <si>
    <t>淑宜</t>
  </si>
  <si>
    <t>秀美</t>
  </si>
  <si>
    <t>2醬2組(胡麻醬*2、和風醬*2、護手霜*2)</t>
  </si>
  <si>
    <t>雪儿</t>
  </si>
  <si>
    <t>怡惠</t>
  </si>
  <si>
    <t>麗雲</t>
  </si>
  <si>
    <t>白巧醬*1、和風醬*1、手工皂*1</t>
  </si>
  <si>
    <t>淑絹</t>
  </si>
  <si>
    <t>俐瑩</t>
  </si>
  <si>
    <t>白巧醬</t>
  </si>
  <si>
    <t>胡麻醬</t>
  </si>
  <si>
    <t>和風醬</t>
  </si>
  <si>
    <t>護唇膏</t>
  </si>
  <si>
    <t>護手霜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</si>
</sst>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16.0"/>
      <color theme="1"/>
      <name val="Arial"/>
    </font>
    <font>
      <b/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43.0"/>
      <color theme="1"/>
      <name val="Arial"/>
      <scheme val="minor"/>
    </font>
    <font>
      <b/>
      <sz val="16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8F3"/>
        <bgColor rgb="FFCFE8F3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quotePrefix="1"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0">
    <tableStyle count="4" pivot="0" name="表單回應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工作檔-style">
      <tableStyleElement dxfId="5" type="headerRow"/>
      <tableStyleElement dxfId="2" type="firstRowStripe"/>
      <tableStyleElement dxfId="6" type="secondRowStripe"/>
    </tableStyle>
    <tableStyle count="3" pivot="0" name="工作檔-style 2">
      <tableStyleElement dxfId="5" type="headerRow"/>
      <tableStyleElement dxfId="2" type="firstRowStripe"/>
      <tableStyleElement dxfId="6" type="secondRowStripe"/>
    </tableStyle>
    <tableStyle count="3" pivot="0" name="工作檔-style 3">
      <tableStyleElement dxfId="5" type="headerRow"/>
      <tableStyleElement dxfId="2" type="firstRowStripe"/>
      <tableStyleElement dxfId="6" type="secondRowStripe"/>
    </tableStyle>
    <tableStyle count="3" pivot="0" name="暨大自取-style">
      <tableStyleElement dxfId="5" type="headerRow"/>
      <tableStyleElement dxfId="2" type="firstRowStripe"/>
      <tableStyleElement dxfId="6" type="secondRowStripe"/>
    </tableStyle>
    <tableStyle count="3" pivot="0" name="暨大自取-style 2">
      <tableStyleElement dxfId="5" type="headerRow"/>
      <tableStyleElement dxfId="2" type="firstRowStripe"/>
      <tableStyleElement dxfId="6" type="secondRowStripe"/>
    </tableStyle>
    <tableStyle count="3" pivot="0" name="曉雯老師面交-style">
      <tableStyleElement dxfId="7" type="headerRow"/>
      <tableStyleElement dxfId="7" type="firstRowStripe"/>
      <tableStyleElement dxfId="7" type="secondRowStripe"/>
    </tableStyle>
    <tableStyle count="3" pivot="0" name="郵寄-style">
      <tableStyleElement dxfId="5" type="headerRow"/>
      <tableStyleElement dxfId="2" type="firstRowStripe"/>
      <tableStyleElement dxfId="6" type="secondRowStripe"/>
    </tableStyle>
    <tableStyle count="2" pivot="0" name="待確認-style">
      <tableStyleElement dxfId="2" type="firstRowStripe"/>
      <tableStyleElement dxfId="3" type="secondRowStripe"/>
    </tableStyle>
    <tableStyle count="2" pivot="0" name="待確認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E94" displayName="Form_Responses" name="Form_Responses" id="1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表單回應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6:BJ36" displayName="Table_1" name="Table_1" id="2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工作檔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0:BJ40" displayName="Table_2" name="Table_2" id="3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工作檔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76:BJ76" displayName="Table_3" name="Table_3" id="4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工作檔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5:BJ35" displayName="Table_4" name="Table_4" id="5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暨大自取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9:BJ39" displayName="Table_5" name="Table_5" id="6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暨大自取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1000" displayName="Table_6" name="Table_6" id="7">
  <tableColumns count="1">
    <tableColumn name="0" id="1"/>
  </tableColumns>
  <tableStyleInfo name="曉雯老師面交-style" showColumnStripes="0" showFirstColumn="1" showLastColumn="1" showRowStripes="1"/>
</table>
</file>

<file path=xl/tables/table8.xml><?xml version="1.0" encoding="utf-8"?>
<table xmlns="http://schemas.openxmlformats.org/spreadsheetml/2006/main" headerRowCount="0" ref="A14:BJ14" displayName="Table_7" name="Table_7" id="8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郵寄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3:BE3" displayName="Table_8" name="Table_8" id="9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待確認-style" showColumnStripes="0" showFirstColumn="1" showLastColumn="1" showRowStripes="1"/>
</table>
</file>

<file path=xl/tables/table10.xml><?xml version="1.0" encoding="utf-8"?>
<table xmlns="http://schemas.openxmlformats.org/spreadsheetml/2006/main" headerRowCount="0" ref="A4:BE8" displayName="Table_9" name="Table_9" id="10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待確認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38"/>
    <col customWidth="1" min="4" max="4" width="34.88"/>
    <col customWidth="1" min="5" max="5" width="18.88"/>
    <col customWidth="1" min="6" max="6" width="33.38"/>
    <col customWidth="1" min="7" max="8" width="18.88"/>
    <col customWidth="1" min="9" max="10" width="21.13"/>
    <col customWidth="1" min="11" max="11" width="26.75"/>
    <col customWidth="1" min="12" max="12" width="20.38"/>
    <col customWidth="1" min="13" max="14" width="18.88"/>
    <col customWidth="1" min="15" max="16" width="26.13"/>
    <col customWidth="1" min="17" max="17" width="29.75"/>
    <col customWidth="1" min="18" max="18" width="22.88"/>
    <col customWidth="1" min="19" max="19" width="31.13"/>
    <col customWidth="1" min="20" max="23" width="18.88"/>
    <col customWidth="1" min="24" max="25" width="21.13"/>
    <col customWidth="1" min="26" max="26" width="22.13"/>
    <col customWidth="1" min="27" max="27" width="20.0"/>
    <col customWidth="1" min="28" max="29" width="27.0"/>
    <col customWidth="1" min="30" max="32" width="18.88"/>
    <col customWidth="1" min="33" max="33" width="23.75"/>
    <col customWidth="1" min="34" max="35" width="18.88"/>
    <col customWidth="1" min="36" max="36" width="33.13"/>
    <col customWidth="1" min="37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11</v>
      </c>
      <c r="BE1" s="2" t="s">
        <v>54</v>
      </c>
    </row>
    <row r="2" ht="22.5" customHeight="1">
      <c r="A2" s="3">
        <v>45989.77098803241</v>
      </c>
      <c r="B2" s="4" t="s">
        <v>55</v>
      </c>
      <c r="D2" s="4">
        <v>1.0</v>
      </c>
      <c r="E2" s="4" t="s">
        <v>56</v>
      </c>
      <c r="L2" s="4">
        <v>1.0</v>
      </c>
      <c r="S2" s="4" t="s">
        <v>57</v>
      </c>
      <c r="AD2" s="4" t="s">
        <v>58</v>
      </c>
      <c r="AE2" s="4" t="s">
        <v>59</v>
      </c>
      <c r="AF2" s="5" t="s">
        <v>60</v>
      </c>
      <c r="AG2" s="4" t="s">
        <v>61</v>
      </c>
      <c r="AH2" s="4" t="s">
        <v>62</v>
      </c>
      <c r="AK2" s="4" t="s">
        <v>63</v>
      </c>
      <c r="AN2" s="4">
        <v>1.0</v>
      </c>
    </row>
    <row r="3" ht="22.5" customHeight="1">
      <c r="A3" s="3">
        <v>45991.41711549769</v>
      </c>
      <c r="B3" s="4" t="s">
        <v>55</v>
      </c>
      <c r="C3" s="4">
        <v>1.0</v>
      </c>
      <c r="I3" s="4">
        <v>1.0</v>
      </c>
      <c r="S3" s="4" t="s">
        <v>57</v>
      </c>
      <c r="T3" s="4">
        <v>1.0</v>
      </c>
      <c r="AD3" s="4" t="s">
        <v>64</v>
      </c>
      <c r="AE3" s="4" t="s">
        <v>65</v>
      </c>
      <c r="AF3" s="5" t="s">
        <v>66</v>
      </c>
      <c r="AG3" s="4" t="s">
        <v>67</v>
      </c>
      <c r="AH3" s="4" t="s">
        <v>68</v>
      </c>
      <c r="AJ3" s="4">
        <v>89423.0</v>
      </c>
      <c r="AK3" s="4" t="s">
        <v>69</v>
      </c>
      <c r="AL3" s="4" t="s">
        <v>64</v>
      </c>
      <c r="AM3" s="4">
        <v>408002.0</v>
      </c>
      <c r="AT3" s="4">
        <v>1.0</v>
      </c>
      <c r="AU3" s="4">
        <v>2.0</v>
      </c>
      <c r="AV3" s="4">
        <v>1.0</v>
      </c>
      <c r="AY3" s="4">
        <v>1.0</v>
      </c>
      <c r="BC3" s="4">
        <v>2.0</v>
      </c>
    </row>
    <row r="4" ht="22.5" customHeight="1">
      <c r="A4" s="3">
        <v>45991.41883587963</v>
      </c>
      <c r="B4" s="4" t="s">
        <v>55</v>
      </c>
      <c r="C4" s="4">
        <v>2.0</v>
      </c>
      <c r="S4" s="4" t="s">
        <v>70</v>
      </c>
      <c r="AD4" s="4" t="s">
        <v>71</v>
      </c>
      <c r="AE4" s="4" t="s">
        <v>72</v>
      </c>
      <c r="AF4" s="5" t="s">
        <v>73</v>
      </c>
      <c r="AG4" s="4" t="s">
        <v>61</v>
      </c>
      <c r="AH4" s="4" t="s">
        <v>62</v>
      </c>
      <c r="AK4" s="4" t="s">
        <v>74</v>
      </c>
      <c r="AW4" s="4">
        <v>1.0</v>
      </c>
      <c r="BC4" s="4">
        <v>1.0</v>
      </c>
    </row>
    <row r="5" ht="22.5" customHeight="1">
      <c r="A5" s="3">
        <v>45991.4216122338</v>
      </c>
      <c r="B5" s="4" t="s">
        <v>75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D5" s="4" t="s">
        <v>76</v>
      </c>
      <c r="AE5" s="4" t="s">
        <v>77</v>
      </c>
      <c r="AF5" s="5" t="s">
        <v>78</v>
      </c>
      <c r="AG5" s="4" t="s">
        <v>67</v>
      </c>
      <c r="AH5" s="4" t="s">
        <v>62</v>
      </c>
      <c r="AK5" s="4" t="s">
        <v>63</v>
      </c>
      <c r="AQ5" s="4">
        <v>0.0</v>
      </c>
      <c r="AR5" s="4">
        <v>1.0</v>
      </c>
      <c r="AS5" s="4">
        <v>1.0</v>
      </c>
    </row>
    <row r="6" ht="22.5" customHeight="1">
      <c r="A6" s="3">
        <v>45991.42369873842</v>
      </c>
      <c r="B6" s="4" t="s">
        <v>55</v>
      </c>
      <c r="D6" s="4">
        <v>1.0</v>
      </c>
      <c r="E6" s="4" t="s">
        <v>79</v>
      </c>
      <c r="S6" s="4" t="s">
        <v>57</v>
      </c>
      <c r="T6" s="4">
        <v>1.0</v>
      </c>
      <c r="AD6" s="4" t="s">
        <v>80</v>
      </c>
      <c r="AE6" s="4" t="s">
        <v>81</v>
      </c>
      <c r="AF6" s="5" t="s">
        <v>82</v>
      </c>
      <c r="AG6" s="4" t="s">
        <v>83</v>
      </c>
      <c r="AH6" s="4" t="s">
        <v>68</v>
      </c>
      <c r="AJ6" s="4">
        <v>93571.0</v>
      </c>
      <c r="AK6" s="4" t="s">
        <v>69</v>
      </c>
      <c r="AL6" s="4" t="s">
        <v>80</v>
      </c>
      <c r="AM6" s="4" t="s">
        <v>84</v>
      </c>
      <c r="AT6" s="4">
        <v>1.0</v>
      </c>
      <c r="AW6" s="4">
        <v>2.0</v>
      </c>
      <c r="BC6" s="4">
        <v>1.0</v>
      </c>
    </row>
    <row r="7" ht="22.5" customHeight="1">
      <c r="A7" s="3">
        <v>45991.46761083334</v>
      </c>
      <c r="B7" s="4" t="s">
        <v>55</v>
      </c>
      <c r="C7" s="4">
        <v>2.0</v>
      </c>
      <c r="S7" s="4" t="s">
        <v>57</v>
      </c>
      <c r="AD7" s="4" t="s">
        <v>71</v>
      </c>
      <c r="AE7" s="4" t="s">
        <v>72</v>
      </c>
      <c r="AF7" s="5" t="s">
        <v>73</v>
      </c>
      <c r="AG7" s="4" t="s">
        <v>61</v>
      </c>
      <c r="AH7" s="4" t="s">
        <v>62</v>
      </c>
      <c r="AK7" s="4" t="s">
        <v>74</v>
      </c>
    </row>
    <row r="8" ht="22.5" customHeight="1">
      <c r="A8" s="3">
        <v>45991.47689167824</v>
      </c>
      <c r="B8" s="4" t="s">
        <v>55</v>
      </c>
      <c r="F8" s="4">
        <v>1.0</v>
      </c>
      <c r="G8" s="4" t="s">
        <v>85</v>
      </c>
      <c r="I8" s="4">
        <v>1.0</v>
      </c>
      <c r="S8" s="4" t="s">
        <v>70</v>
      </c>
      <c r="AD8" s="4" t="s">
        <v>86</v>
      </c>
      <c r="AE8" s="4" t="s">
        <v>87</v>
      </c>
      <c r="AF8" s="5" t="s">
        <v>88</v>
      </c>
      <c r="AG8" s="4" t="s">
        <v>67</v>
      </c>
      <c r="AH8" s="4" t="s">
        <v>68</v>
      </c>
      <c r="AJ8" s="4">
        <v>86771.0</v>
      </c>
      <c r="AK8" s="4" t="s">
        <v>69</v>
      </c>
      <c r="AL8" s="4" t="s">
        <v>86</v>
      </c>
      <c r="AM8" s="4" t="s">
        <v>89</v>
      </c>
      <c r="AW8" s="4">
        <v>2.0</v>
      </c>
      <c r="BC8" s="4">
        <v>1.0</v>
      </c>
    </row>
    <row r="9" ht="22.5" customHeight="1">
      <c r="A9" s="3">
        <v>45991.505414479165</v>
      </c>
      <c r="B9" s="4" t="s">
        <v>75</v>
      </c>
      <c r="AD9" s="4" t="s">
        <v>90</v>
      </c>
      <c r="AE9" s="4" t="s">
        <v>91</v>
      </c>
      <c r="AF9" s="5" t="s">
        <v>92</v>
      </c>
      <c r="AG9" s="4" t="s">
        <v>61</v>
      </c>
      <c r="AH9" s="4" t="s">
        <v>62</v>
      </c>
      <c r="AK9" s="4" t="s">
        <v>74</v>
      </c>
      <c r="AQ9" s="4">
        <v>1.0</v>
      </c>
    </row>
    <row r="10" ht="22.5" customHeight="1">
      <c r="A10" s="3">
        <v>45991.51942667824</v>
      </c>
      <c r="B10" s="4" t="s">
        <v>55</v>
      </c>
      <c r="D10" s="4">
        <v>1.0</v>
      </c>
      <c r="E10" s="4" t="s">
        <v>56</v>
      </c>
      <c r="S10" s="4" t="s">
        <v>70</v>
      </c>
      <c r="AD10" s="4" t="s">
        <v>93</v>
      </c>
      <c r="AE10" s="4" t="s">
        <v>94</v>
      </c>
      <c r="AF10" s="5" t="s">
        <v>95</v>
      </c>
      <c r="AG10" s="4" t="s">
        <v>67</v>
      </c>
      <c r="AH10" s="4" t="s">
        <v>68</v>
      </c>
      <c r="AJ10" s="4">
        <v>20536.0</v>
      </c>
      <c r="AK10" s="4" t="s">
        <v>69</v>
      </c>
      <c r="AL10" s="4" t="s">
        <v>93</v>
      </c>
      <c r="AM10" s="4" t="s">
        <v>96</v>
      </c>
      <c r="BC10" s="4">
        <v>1.0</v>
      </c>
    </row>
    <row r="11" ht="22.5" customHeight="1">
      <c r="A11" s="3">
        <v>45991.55285690972</v>
      </c>
      <c r="B11" s="4" t="s">
        <v>75</v>
      </c>
      <c r="AD11" s="4" t="s">
        <v>97</v>
      </c>
      <c r="AE11" s="4" t="s">
        <v>98</v>
      </c>
      <c r="AF11" s="5" t="s">
        <v>99</v>
      </c>
      <c r="AG11" s="4" t="s">
        <v>61</v>
      </c>
      <c r="AH11" s="4" t="s">
        <v>62</v>
      </c>
      <c r="AK11" s="4" t="s">
        <v>74</v>
      </c>
      <c r="AS11" s="4">
        <v>2.0</v>
      </c>
    </row>
    <row r="12" ht="22.5" customHeight="1">
      <c r="A12" s="3"/>
      <c r="B12" s="4"/>
      <c r="C12" s="4"/>
      <c r="S12" s="4"/>
      <c r="U12" s="4"/>
      <c r="AD12" s="4"/>
      <c r="AE12" s="4"/>
      <c r="AF12" s="4"/>
      <c r="AG12" s="4"/>
      <c r="AH12" s="4"/>
      <c r="AJ12" s="4"/>
      <c r="AK12" s="4"/>
      <c r="AL12" s="4"/>
      <c r="AM12" s="4"/>
      <c r="AX12" s="4"/>
      <c r="BB12" s="4"/>
      <c r="BC12" s="4"/>
    </row>
    <row r="13" ht="22.5" customHeight="1">
      <c r="A13" s="3">
        <v>45991.606253136575</v>
      </c>
      <c r="B13" s="4" t="s">
        <v>55</v>
      </c>
      <c r="C13" s="4">
        <v>1.0</v>
      </c>
      <c r="S13" s="4" t="s">
        <v>57</v>
      </c>
      <c r="U13" s="4">
        <v>1.0</v>
      </c>
      <c r="AD13" s="4" t="s">
        <v>100</v>
      </c>
      <c r="AE13" s="4" t="s">
        <v>101</v>
      </c>
      <c r="AF13" s="5" t="s">
        <v>102</v>
      </c>
      <c r="AG13" s="4" t="s">
        <v>103</v>
      </c>
      <c r="AH13" s="4" t="s">
        <v>68</v>
      </c>
      <c r="AJ13" s="4">
        <v>27605.0</v>
      </c>
      <c r="AK13" s="4" t="s">
        <v>69</v>
      </c>
      <c r="AL13" s="4" t="s">
        <v>100</v>
      </c>
      <c r="AM13" s="4" t="s">
        <v>104</v>
      </c>
      <c r="AX13" s="4">
        <v>1.0</v>
      </c>
      <c r="BB13" s="4">
        <v>3.0</v>
      </c>
      <c r="BC13" s="4">
        <v>2.0</v>
      </c>
    </row>
    <row r="14" ht="22.5" customHeight="1">
      <c r="A14" s="3">
        <v>45991.61619799769</v>
      </c>
      <c r="B14" s="4" t="s">
        <v>55</v>
      </c>
      <c r="C14" s="4">
        <v>2.0</v>
      </c>
      <c r="I14" s="4">
        <v>6.0</v>
      </c>
      <c r="S14" s="4" t="s">
        <v>57</v>
      </c>
      <c r="T14" s="4">
        <v>3.0</v>
      </c>
      <c r="U14" s="4">
        <v>3.0</v>
      </c>
      <c r="AD14" s="4" t="s">
        <v>105</v>
      </c>
      <c r="AE14" s="4" t="s">
        <v>106</v>
      </c>
      <c r="AF14" s="5" t="s">
        <v>107</v>
      </c>
      <c r="AG14" s="4" t="s">
        <v>61</v>
      </c>
      <c r="AH14" s="4" t="s">
        <v>62</v>
      </c>
      <c r="AI14" s="4" t="s">
        <v>108</v>
      </c>
      <c r="AK14" s="4" t="s">
        <v>74</v>
      </c>
      <c r="AT14" s="4">
        <v>7.0</v>
      </c>
      <c r="AV14" s="4">
        <v>1.0</v>
      </c>
      <c r="AW14" s="4">
        <v>10.0</v>
      </c>
      <c r="AX14" s="4">
        <v>5.0</v>
      </c>
      <c r="AZ14" s="4">
        <v>10.0</v>
      </c>
      <c r="BA14" s="4">
        <v>10.0</v>
      </c>
      <c r="BC14" s="4">
        <v>1.0</v>
      </c>
    </row>
    <row r="15" ht="22.5" customHeight="1">
      <c r="A15" s="3">
        <v>45991.62237239583</v>
      </c>
      <c r="B15" s="4" t="s">
        <v>55</v>
      </c>
      <c r="H15" s="4">
        <v>1.0</v>
      </c>
      <c r="S15" s="4" t="s">
        <v>57</v>
      </c>
      <c r="T15" s="4">
        <v>1.0</v>
      </c>
      <c r="AD15" s="4" t="s">
        <v>109</v>
      </c>
      <c r="AE15" s="4" t="s">
        <v>110</v>
      </c>
      <c r="AF15" s="5" t="s">
        <v>111</v>
      </c>
      <c r="AG15" s="4" t="s">
        <v>67</v>
      </c>
      <c r="AH15" s="4" t="s">
        <v>62</v>
      </c>
      <c r="AK15" s="4" t="s">
        <v>63</v>
      </c>
    </row>
    <row r="16" ht="22.5" customHeight="1">
      <c r="A16" s="3">
        <v>45991.628722800924</v>
      </c>
      <c r="B16" s="4" t="s">
        <v>55</v>
      </c>
      <c r="C16" s="4">
        <v>3.0</v>
      </c>
      <c r="S16" s="4" t="s">
        <v>70</v>
      </c>
      <c r="AD16" s="4" t="s">
        <v>112</v>
      </c>
      <c r="AE16" s="4" t="s">
        <v>113</v>
      </c>
      <c r="AF16" s="5" t="s">
        <v>114</v>
      </c>
      <c r="AG16" s="4" t="s">
        <v>67</v>
      </c>
      <c r="AH16" s="4" t="s">
        <v>68</v>
      </c>
      <c r="AJ16" s="4">
        <v>43004.0</v>
      </c>
      <c r="AK16" s="4" t="s">
        <v>69</v>
      </c>
      <c r="AL16" s="4" t="s">
        <v>112</v>
      </c>
      <c r="AM16" s="4" t="s">
        <v>115</v>
      </c>
      <c r="AT16" s="4">
        <v>1.0</v>
      </c>
    </row>
    <row r="17" ht="22.5" customHeight="1">
      <c r="A17" s="3">
        <v>45991.65473796296</v>
      </c>
      <c r="B17" s="4" t="s">
        <v>75</v>
      </c>
      <c r="AD17" s="4" t="s">
        <v>116</v>
      </c>
      <c r="AE17" s="4" t="s">
        <v>117</v>
      </c>
      <c r="AF17" s="5" t="s">
        <v>118</v>
      </c>
      <c r="AG17" s="4" t="s">
        <v>67</v>
      </c>
      <c r="AH17" s="4" t="s">
        <v>62</v>
      </c>
      <c r="AK17" s="4" t="s">
        <v>63</v>
      </c>
      <c r="AS17" s="4">
        <v>1.0</v>
      </c>
    </row>
    <row r="18" ht="22.5" customHeight="1">
      <c r="A18" s="3">
        <v>45991.70541790509</v>
      </c>
      <c r="B18" s="4" t="s">
        <v>55</v>
      </c>
      <c r="F18" s="4">
        <v>1.0</v>
      </c>
      <c r="G18" s="4" t="s">
        <v>119</v>
      </c>
      <c r="S18" s="4" t="s">
        <v>70</v>
      </c>
      <c r="AD18" s="4" t="s">
        <v>120</v>
      </c>
      <c r="AE18" s="4" t="s">
        <v>121</v>
      </c>
      <c r="AF18" s="5" t="s">
        <v>122</v>
      </c>
      <c r="AG18" s="4" t="s">
        <v>61</v>
      </c>
      <c r="AH18" s="4" t="s">
        <v>62</v>
      </c>
      <c r="AK18" s="4" t="s">
        <v>74</v>
      </c>
      <c r="AZ18" s="4">
        <v>2.0</v>
      </c>
      <c r="BA18" s="4">
        <v>2.0</v>
      </c>
    </row>
    <row r="19" ht="22.5" customHeight="1">
      <c r="A19" s="3">
        <v>45991.81648717592</v>
      </c>
      <c r="B19" s="4" t="s">
        <v>55</v>
      </c>
      <c r="C19" s="4">
        <v>2.0</v>
      </c>
      <c r="S19" s="4" t="s">
        <v>70</v>
      </c>
      <c r="AD19" s="4" t="s">
        <v>123</v>
      </c>
      <c r="AE19" s="4" t="s">
        <v>124</v>
      </c>
      <c r="AF19" s="5" t="s">
        <v>125</v>
      </c>
      <c r="AG19" s="4" t="s">
        <v>67</v>
      </c>
      <c r="AH19" s="4" t="s">
        <v>68</v>
      </c>
      <c r="AI19" s="4" t="s">
        <v>126</v>
      </c>
      <c r="AJ19" s="4">
        <v>52430.0</v>
      </c>
      <c r="AK19" s="4" t="s">
        <v>69</v>
      </c>
      <c r="AL19" s="4" t="s">
        <v>123</v>
      </c>
      <c r="AM19" s="4" t="s">
        <v>127</v>
      </c>
      <c r="AT19" s="4">
        <v>3.0</v>
      </c>
    </row>
    <row r="20" ht="22.5" customHeight="1">
      <c r="A20" s="3">
        <v>45991.82918935185</v>
      </c>
      <c r="B20" s="4" t="s">
        <v>55</v>
      </c>
      <c r="C20" s="4">
        <v>1.0</v>
      </c>
      <c r="S20" s="4" t="s">
        <v>70</v>
      </c>
      <c r="AD20" s="4" t="s">
        <v>128</v>
      </c>
      <c r="AE20" s="4" t="s">
        <v>129</v>
      </c>
      <c r="AF20" s="5" t="s">
        <v>130</v>
      </c>
      <c r="AG20" s="4" t="s">
        <v>67</v>
      </c>
      <c r="AH20" s="4" t="s">
        <v>68</v>
      </c>
      <c r="AI20" s="4" t="s">
        <v>131</v>
      </c>
      <c r="AJ20" s="4">
        <v>43941.0</v>
      </c>
      <c r="AK20" s="4" t="s">
        <v>69</v>
      </c>
      <c r="AL20" s="4" t="s">
        <v>128</v>
      </c>
      <c r="AM20" s="4" t="s">
        <v>132</v>
      </c>
    </row>
    <row r="21" ht="22.5" customHeight="1">
      <c r="A21" s="3">
        <v>45991.8961840625</v>
      </c>
      <c r="B21" s="4" t="s">
        <v>55</v>
      </c>
      <c r="C21" s="4">
        <v>1.0</v>
      </c>
      <c r="S21" s="4" t="s">
        <v>70</v>
      </c>
      <c r="AD21" s="4" t="s">
        <v>133</v>
      </c>
      <c r="AE21" s="4" t="s">
        <v>134</v>
      </c>
      <c r="AF21" s="5" t="s">
        <v>135</v>
      </c>
      <c r="AG21" s="4" t="s">
        <v>67</v>
      </c>
      <c r="AH21" s="4" t="s">
        <v>68</v>
      </c>
      <c r="AJ21" s="4">
        <v>69780.0</v>
      </c>
      <c r="AK21" s="4" t="s">
        <v>69</v>
      </c>
      <c r="AL21" s="4" t="s">
        <v>133</v>
      </c>
      <c r="AM21" s="4" t="s">
        <v>136</v>
      </c>
    </row>
    <row r="22" ht="22.5" customHeight="1">
      <c r="A22" s="3">
        <v>45991.913040659725</v>
      </c>
      <c r="B22" s="4" t="s">
        <v>55</v>
      </c>
      <c r="D22" s="4">
        <v>1.0</v>
      </c>
      <c r="E22" s="4" t="s">
        <v>137</v>
      </c>
      <c r="S22" s="4" t="s">
        <v>57</v>
      </c>
      <c r="T22" s="4">
        <v>1.0</v>
      </c>
      <c r="AD22" s="4" t="s">
        <v>138</v>
      </c>
      <c r="AE22" s="4" t="s">
        <v>139</v>
      </c>
      <c r="AF22" s="5" t="s">
        <v>140</v>
      </c>
      <c r="AG22" s="4" t="s">
        <v>67</v>
      </c>
      <c r="AH22" s="4" t="s">
        <v>62</v>
      </c>
      <c r="AK22" s="4" t="s">
        <v>74</v>
      </c>
    </row>
    <row r="23" ht="22.5" customHeight="1">
      <c r="A23" s="3">
        <v>45991.91585556713</v>
      </c>
      <c r="B23" s="4" t="s">
        <v>75</v>
      </c>
      <c r="V23" s="4">
        <v>1.0</v>
      </c>
      <c r="AD23" s="4" t="s">
        <v>141</v>
      </c>
      <c r="AE23" s="4" t="s">
        <v>142</v>
      </c>
      <c r="AF23" s="5" t="s">
        <v>143</v>
      </c>
      <c r="AG23" s="4" t="s">
        <v>103</v>
      </c>
      <c r="AH23" s="4" t="s">
        <v>62</v>
      </c>
      <c r="AK23" s="4" t="s">
        <v>144</v>
      </c>
      <c r="AQ23" s="4">
        <v>1.0</v>
      </c>
      <c r="AS23" s="4">
        <v>1.0</v>
      </c>
    </row>
    <row r="24" ht="22.5" customHeight="1">
      <c r="A24" s="3">
        <v>45991.95193539352</v>
      </c>
      <c r="B24" s="4" t="s">
        <v>55</v>
      </c>
      <c r="C24" s="4">
        <v>1.0</v>
      </c>
      <c r="D24" s="4">
        <v>1.0</v>
      </c>
      <c r="E24" s="4" t="s">
        <v>145</v>
      </c>
      <c r="S24" s="4" t="s">
        <v>57</v>
      </c>
      <c r="U24" s="4">
        <v>2.0</v>
      </c>
      <c r="AD24" s="4" t="s">
        <v>146</v>
      </c>
      <c r="AE24" s="4" t="s">
        <v>147</v>
      </c>
      <c r="AF24" s="5" t="s">
        <v>148</v>
      </c>
      <c r="AG24" s="4" t="s">
        <v>61</v>
      </c>
      <c r="AH24" s="4" t="s">
        <v>62</v>
      </c>
      <c r="AK24" s="4" t="s">
        <v>74</v>
      </c>
      <c r="AU24" s="4">
        <v>1.0</v>
      </c>
      <c r="AW24" s="4">
        <v>2.0</v>
      </c>
      <c r="BB24" s="4">
        <v>2.0</v>
      </c>
    </row>
    <row r="25" ht="22.5" customHeight="1">
      <c r="A25" s="3">
        <v>45992.01178931713</v>
      </c>
      <c r="B25" s="4" t="s">
        <v>75</v>
      </c>
      <c r="Z25" s="4">
        <v>3.0</v>
      </c>
      <c r="AD25" s="4" t="s">
        <v>149</v>
      </c>
      <c r="AE25" s="4" t="s">
        <v>150</v>
      </c>
      <c r="AF25" s="5" t="s">
        <v>151</v>
      </c>
      <c r="AG25" s="4" t="s">
        <v>67</v>
      </c>
      <c r="AH25" s="4" t="s">
        <v>62</v>
      </c>
      <c r="AK25" s="4" t="s">
        <v>63</v>
      </c>
      <c r="AQ25" s="4">
        <v>1.0</v>
      </c>
      <c r="AR25" s="4">
        <v>1.0</v>
      </c>
      <c r="AS25" s="4">
        <v>1.0</v>
      </c>
    </row>
    <row r="26" ht="22.5" customHeight="1">
      <c r="A26" s="3">
        <v>45992.02168298612</v>
      </c>
      <c r="B26" s="4" t="s">
        <v>55</v>
      </c>
      <c r="C26" s="4">
        <v>1.0</v>
      </c>
      <c r="S26" s="4" t="s">
        <v>57</v>
      </c>
      <c r="T26" s="4">
        <v>1.0</v>
      </c>
      <c r="U26" s="4">
        <v>1.0</v>
      </c>
      <c r="AD26" s="4" t="s">
        <v>116</v>
      </c>
      <c r="AE26" s="4" t="s">
        <v>117</v>
      </c>
      <c r="AF26" s="5" t="s">
        <v>118</v>
      </c>
      <c r="AG26" s="4" t="s">
        <v>67</v>
      </c>
      <c r="AH26" s="4" t="s">
        <v>62</v>
      </c>
      <c r="AK26" s="4" t="s">
        <v>63</v>
      </c>
    </row>
    <row r="27" ht="22.5" customHeight="1">
      <c r="A27" s="3">
        <v>45992.03865206019</v>
      </c>
      <c r="B27" s="4" t="s">
        <v>75</v>
      </c>
      <c r="AD27" s="4" t="s">
        <v>152</v>
      </c>
      <c r="AE27" s="4" t="s">
        <v>153</v>
      </c>
      <c r="AF27" s="5" t="s">
        <v>154</v>
      </c>
      <c r="AG27" s="4" t="s">
        <v>61</v>
      </c>
      <c r="AH27" s="4" t="s">
        <v>62</v>
      </c>
      <c r="AK27" s="4" t="s">
        <v>63</v>
      </c>
      <c r="AR27" s="4">
        <v>1.0</v>
      </c>
    </row>
    <row r="28" ht="22.5" customHeight="1">
      <c r="A28" s="3">
        <v>45992.36693512731</v>
      </c>
      <c r="B28" s="4" t="s">
        <v>55</v>
      </c>
      <c r="H28" s="4">
        <v>1.0</v>
      </c>
      <c r="S28" s="4" t="s">
        <v>57</v>
      </c>
      <c r="U28" s="4">
        <v>1.0</v>
      </c>
      <c r="AD28" s="4" t="s">
        <v>155</v>
      </c>
      <c r="AE28" s="4" t="s">
        <v>156</v>
      </c>
      <c r="AF28" s="5" t="s">
        <v>157</v>
      </c>
      <c r="AG28" s="4" t="s">
        <v>67</v>
      </c>
      <c r="AH28" s="4" t="s">
        <v>62</v>
      </c>
      <c r="AI28" s="4" t="s">
        <v>158</v>
      </c>
      <c r="AK28" s="4" t="s">
        <v>63</v>
      </c>
      <c r="AY28" s="4">
        <v>2.0</v>
      </c>
      <c r="BB28" s="4">
        <v>2.0</v>
      </c>
    </row>
    <row r="29" ht="22.5" customHeight="1">
      <c r="A29" s="3">
        <v>45992.420310648144</v>
      </c>
      <c r="B29" s="4" t="s">
        <v>75</v>
      </c>
      <c r="AD29" s="4" t="s">
        <v>159</v>
      </c>
      <c r="AE29" s="4" t="s">
        <v>160</v>
      </c>
      <c r="AF29" s="5" t="s">
        <v>161</v>
      </c>
      <c r="AG29" s="4" t="s">
        <v>67</v>
      </c>
      <c r="AH29" s="4" t="s">
        <v>62</v>
      </c>
      <c r="AI29" s="4" t="s">
        <v>162</v>
      </c>
      <c r="AK29" s="4" t="s">
        <v>69</v>
      </c>
      <c r="AL29" s="4" t="s">
        <v>159</v>
      </c>
      <c r="AM29" s="4" t="s">
        <v>163</v>
      </c>
      <c r="AR29" s="4">
        <v>5.0</v>
      </c>
      <c r="AS29" s="4">
        <v>5.0</v>
      </c>
    </row>
    <row r="30" ht="22.5" customHeight="1">
      <c r="A30" s="3">
        <v>45992.58608309028</v>
      </c>
      <c r="B30" s="4" t="s">
        <v>75</v>
      </c>
      <c r="AD30" s="4" t="s">
        <v>164</v>
      </c>
      <c r="AE30" s="4" t="s">
        <v>165</v>
      </c>
      <c r="AF30" s="5" t="s">
        <v>166</v>
      </c>
      <c r="AG30" s="4" t="s">
        <v>67</v>
      </c>
      <c r="AH30" s="4" t="s">
        <v>62</v>
      </c>
      <c r="AK30" s="4" t="s">
        <v>63</v>
      </c>
      <c r="AR30" s="4">
        <v>1.0</v>
      </c>
    </row>
    <row r="31" ht="22.5" customHeight="1">
      <c r="A31" s="3">
        <v>45992.64775270833</v>
      </c>
      <c r="B31" s="4" t="s">
        <v>75</v>
      </c>
      <c r="X31" s="4">
        <v>1.0</v>
      </c>
      <c r="Y31" s="4">
        <v>1.0</v>
      </c>
      <c r="AD31" s="4" t="s">
        <v>167</v>
      </c>
      <c r="AE31" s="4" t="s">
        <v>168</v>
      </c>
      <c r="AF31" s="5" t="s">
        <v>169</v>
      </c>
      <c r="AG31" s="4" t="s">
        <v>67</v>
      </c>
      <c r="AH31" s="4" t="s">
        <v>62</v>
      </c>
      <c r="AI31" s="4" t="s">
        <v>170</v>
      </c>
      <c r="AK31" s="4" t="s">
        <v>171</v>
      </c>
    </row>
    <row r="32" ht="22.5" customHeight="1">
      <c r="A32" s="3">
        <v>45992.655757037035</v>
      </c>
      <c r="B32" s="4" t="s">
        <v>55</v>
      </c>
      <c r="C32" s="4">
        <v>1.0</v>
      </c>
      <c r="I32" s="4">
        <v>1.0</v>
      </c>
      <c r="S32" s="4" t="s">
        <v>57</v>
      </c>
      <c r="T32" s="4">
        <v>1.0</v>
      </c>
      <c r="U32" s="4">
        <v>1.0</v>
      </c>
      <c r="AD32" s="4" t="s">
        <v>172</v>
      </c>
      <c r="AE32" s="4" t="s">
        <v>173</v>
      </c>
      <c r="AF32" s="5" t="s">
        <v>174</v>
      </c>
      <c r="AG32" s="4" t="s">
        <v>67</v>
      </c>
      <c r="AH32" s="4" t="s">
        <v>68</v>
      </c>
      <c r="AI32" s="4" t="s">
        <v>175</v>
      </c>
      <c r="AJ32" s="4">
        <v>75119.0</v>
      </c>
      <c r="AK32" s="4" t="s">
        <v>171</v>
      </c>
      <c r="AV32" s="4">
        <v>1.0</v>
      </c>
      <c r="AW32" s="4">
        <v>1.0</v>
      </c>
    </row>
    <row r="33" ht="22.5" customHeight="1">
      <c r="A33" s="3">
        <v>45992.767021990745</v>
      </c>
      <c r="B33" s="4" t="s">
        <v>75</v>
      </c>
      <c r="V33" s="4">
        <v>2.0</v>
      </c>
      <c r="Z33" s="4">
        <v>2.0</v>
      </c>
      <c r="AD33" s="4" t="s">
        <v>176</v>
      </c>
      <c r="AE33" s="4" t="s">
        <v>177</v>
      </c>
      <c r="AF33" s="5" t="s">
        <v>178</v>
      </c>
      <c r="AG33" s="4" t="s">
        <v>67</v>
      </c>
      <c r="AH33" s="4" t="s">
        <v>68</v>
      </c>
      <c r="AI33" s="4" t="s">
        <v>179</v>
      </c>
      <c r="AJ33" s="4">
        <v>61391.0</v>
      </c>
      <c r="AK33" s="4" t="s">
        <v>69</v>
      </c>
      <c r="AL33" s="4" t="s">
        <v>176</v>
      </c>
      <c r="AM33" s="4" t="s">
        <v>180</v>
      </c>
      <c r="AQ33" s="4">
        <v>2.0</v>
      </c>
    </row>
    <row r="34" ht="22.5" customHeight="1">
      <c r="A34" s="3">
        <v>45992.83118263889</v>
      </c>
      <c r="B34" s="4" t="s">
        <v>75</v>
      </c>
      <c r="X34" s="4">
        <v>1.0</v>
      </c>
      <c r="Y34" s="4">
        <v>1.0</v>
      </c>
      <c r="AD34" s="4" t="s">
        <v>181</v>
      </c>
      <c r="AE34" s="4" t="s">
        <v>182</v>
      </c>
      <c r="AF34" s="5" t="s">
        <v>183</v>
      </c>
      <c r="AG34" s="4" t="s">
        <v>67</v>
      </c>
      <c r="AH34" s="4" t="s">
        <v>62</v>
      </c>
      <c r="AK34" s="4" t="s">
        <v>63</v>
      </c>
    </row>
    <row r="35" ht="22.5" customHeight="1">
      <c r="A35" s="3">
        <v>45992.88219421296</v>
      </c>
      <c r="B35" s="4" t="s">
        <v>55</v>
      </c>
      <c r="C35" s="4">
        <v>2.0</v>
      </c>
      <c r="S35" s="4" t="s">
        <v>57</v>
      </c>
      <c r="U35" s="4">
        <v>2.0</v>
      </c>
      <c r="AD35" s="4" t="s">
        <v>184</v>
      </c>
      <c r="AE35" s="4" t="s">
        <v>185</v>
      </c>
      <c r="AF35" s="5" t="s">
        <v>186</v>
      </c>
      <c r="AG35" s="4" t="s">
        <v>67</v>
      </c>
      <c r="AH35" s="4" t="s">
        <v>62</v>
      </c>
      <c r="AK35" s="4" t="s">
        <v>74</v>
      </c>
      <c r="AZ35" s="4">
        <v>2.0</v>
      </c>
      <c r="BA35" s="4">
        <v>2.0</v>
      </c>
    </row>
    <row r="36" ht="22.5" customHeight="1">
      <c r="A36" s="3">
        <v>45993.37513215278</v>
      </c>
      <c r="B36" s="4" t="s">
        <v>55</v>
      </c>
      <c r="F36" s="4">
        <v>2.0</v>
      </c>
      <c r="I36" s="4">
        <v>1.0</v>
      </c>
      <c r="S36" s="4" t="s">
        <v>70</v>
      </c>
      <c r="AD36" s="4" t="s">
        <v>187</v>
      </c>
      <c r="AE36" s="4" t="s">
        <v>188</v>
      </c>
      <c r="AF36" s="5" t="s">
        <v>189</v>
      </c>
      <c r="AG36" s="4" t="s">
        <v>67</v>
      </c>
      <c r="AH36" s="4" t="s">
        <v>62</v>
      </c>
      <c r="AK36" s="4" t="s">
        <v>69</v>
      </c>
      <c r="AL36" s="4" t="s">
        <v>187</v>
      </c>
      <c r="AM36" s="4" t="s">
        <v>190</v>
      </c>
      <c r="AT36" s="4">
        <v>1.0</v>
      </c>
      <c r="AU36" s="4">
        <v>2.0</v>
      </c>
      <c r="AW36" s="4">
        <v>5.0</v>
      </c>
    </row>
    <row r="37" ht="22.5" customHeight="1">
      <c r="A37" s="3">
        <v>45993.47653849537</v>
      </c>
      <c r="B37" s="4" t="s">
        <v>55</v>
      </c>
      <c r="D37" s="4">
        <v>1.0</v>
      </c>
      <c r="G37" s="4" t="s">
        <v>145</v>
      </c>
      <c r="S37" s="4" t="s">
        <v>57</v>
      </c>
      <c r="U37" s="4">
        <v>1.0</v>
      </c>
      <c r="AD37" s="4" t="s">
        <v>191</v>
      </c>
      <c r="AE37" s="4" t="s">
        <v>192</v>
      </c>
      <c r="AF37" s="5" t="s">
        <v>193</v>
      </c>
      <c r="AG37" s="4" t="s">
        <v>61</v>
      </c>
      <c r="AH37" s="4" t="s">
        <v>62</v>
      </c>
      <c r="AK37" s="4" t="s">
        <v>74</v>
      </c>
      <c r="AZ37" s="4">
        <v>1.0</v>
      </c>
    </row>
    <row r="38" ht="22.5" customHeight="1">
      <c r="A38" s="3">
        <v>45993.6124963426</v>
      </c>
      <c r="B38" s="4" t="s">
        <v>55</v>
      </c>
      <c r="F38" s="4">
        <v>1.0</v>
      </c>
      <c r="G38" s="4" t="s">
        <v>194</v>
      </c>
      <c r="I38" s="4">
        <v>1.0</v>
      </c>
      <c r="S38" s="4" t="s">
        <v>57</v>
      </c>
      <c r="T38" s="4">
        <v>1.0</v>
      </c>
      <c r="AD38" s="4" t="s">
        <v>195</v>
      </c>
      <c r="AE38" s="4" t="s">
        <v>196</v>
      </c>
      <c r="AF38" s="5" t="s">
        <v>197</v>
      </c>
      <c r="AG38" s="4" t="s">
        <v>67</v>
      </c>
      <c r="AH38" s="4" t="s">
        <v>68</v>
      </c>
      <c r="AJ38" s="4">
        <v>37186.0</v>
      </c>
      <c r="AK38" s="4" t="s">
        <v>69</v>
      </c>
      <c r="AL38" s="4" t="s">
        <v>195</v>
      </c>
      <c r="AM38" s="4" t="s">
        <v>198</v>
      </c>
      <c r="AT38" s="4">
        <v>1.0</v>
      </c>
      <c r="AW38" s="4">
        <v>2.0</v>
      </c>
    </row>
    <row r="39" ht="22.5" customHeight="1">
      <c r="A39" s="3">
        <v>45993.813866666664</v>
      </c>
      <c r="B39" s="4" t="s">
        <v>55</v>
      </c>
      <c r="C39" s="4">
        <v>2.0</v>
      </c>
      <c r="H39" s="4">
        <v>1.0</v>
      </c>
      <c r="S39" s="4" t="s">
        <v>70</v>
      </c>
      <c r="AD39" s="4" t="s">
        <v>199</v>
      </c>
      <c r="AE39" s="4" t="s">
        <v>200</v>
      </c>
      <c r="AF39" s="5" t="s">
        <v>201</v>
      </c>
      <c r="AG39" s="4" t="s">
        <v>67</v>
      </c>
      <c r="AH39" s="4" t="s">
        <v>68</v>
      </c>
      <c r="AI39" s="4" t="s">
        <v>202</v>
      </c>
      <c r="AJ39" s="4">
        <v>11111.0</v>
      </c>
      <c r="AK39" s="4" t="s">
        <v>69</v>
      </c>
      <c r="AL39" s="4" t="s">
        <v>199</v>
      </c>
      <c r="AM39" s="4" t="s">
        <v>203</v>
      </c>
    </row>
    <row r="40" ht="22.5" customHeight="1">
      <c r="A40" s="3">
        <v>45993.81678288194</v>
      </c>
      <c r="B40" s="4" t="s">
        <v>55</v>
      </c>
      <c r="D40" s="4">
        <v>2.0</v>
      </c>
      <c r="E40" s="4" t="s">
        <v>204</v>
      </c>
      <c r="S40" s="4" t="s">
        <v>70</v>
      </c>
      <c r="AD40" s="4" t="s">
        <v>199</v>
      </c>
      <c r="AE40" s="4" t="s">
        <v>200</v>
      </c>
      <c r="AF40" s="5" t="s">
        <v>201</v>
      </c>
      <c r="AG40" s="4" t="s">
        <v>61</v>
      </c>
      <c r="AH40" s="4" t="s">
        <v>68</v>
      </c>
      <c r="AI40" s="4" t="s">
        <v>202</v>
      </c>
      <c r="AJ40" s="4">
        <v>11111.0</v>
      </c>
      <c r="AK40" s="4" t="s">
        <v>69</v>
      </c>
      <c r="AL40" s="4" t="s">
        <v>199</v>
      </c>
      <c r="AM40" s="4" t="s">
        <v>203</v>
      </c>
    </row>
    <row r="41" ht="22.5" customHeight="1">
      <c r="A41" s="3">
        <v>45993.81818141203</v>
      </c>
      <c r="B41" s="4" t="s">
        <v>55</v>
      </c>
      <c r="C41" s="4">
        <v>4.0</v>
      </c>
      <c r="S41" s="4" t="s">
        <v>57</v>
      </c>
      <c r="T41" s="4">
        <v>2.0</v>
      </c>
      <c r="U41" s="4">
        <v>2.0</v>
      </c>
      <c r="AD41" s="4" t="s">
        <v>205</v>
      </c>
      <c r="AE41" s="4" t="s">
        <v>206</v>
      </c>
      <c r="AF41" s="5" t="s">
        <v>207</v>
      </c>
      <c r="AG41" s="4" t="s">
        <v>67</v>
      </c>
      <c r="AH41" s="4" t="s">
        <v>62</v>
      </c>
      <c r="AK41" s="4" t="s">
        <v>171</v>
      </c>
    </row>
    <row r="42" ht="22.5" customHeight="1">
      <c r="A42" s="3">
        <v>45993.821072499995</v>
      </c>
      <c r="B42" s="4" t="s">
        <v>55</v>
      </c>
      <c r="D42" s="4">
        <v>1.0</v>
      </c>
      <c r="E42" s="4" t="s">
        <v>208</v>
      </c>
      <c r="I42" s="4">
        <v>1.0</v>
      </c>
      <c r="S42" s="4" t="s">
        <v>70</v>
      </c>
      <c r="AD42" s="4" t="s">
        <v>209</v>
      </c>
      <c r="AE42" s="4" t="s">
        <v>210</v>
      </c>
      <c r="AF42" s="5" t="s">
        <v>211</v>
      </c>
      <c r="AG42" s="4" t="s">
        <v>67</v>
      </c>
      <c r="AH42" s="4" t="s">
        <v>62</v>
      </c>
      <c r="AK42" s="4" t="s">
        <v>144</v>
      </c>
    </row>
    <row r="43" ht="22.5" customHeight="1">
      <c r="A43" s="3">
        <v>45993.90339388889</v>
      </c>
      <c r="B43" s="4" t="s">
        <v>75</v>
      </c>
      <c r="V43" s="4">
        <v>2.0</v>
      </c>
      <c r="Z43" s="4">
        <v>1.0</v>
      </c>
      <c r="AD43" s="4" t="s">
        <v>90</v>
      </c>
      <c r="AE43" s="4" t="s">
        <v>91</v>
      </c>
      <c r="AF43" s="5" t="s">
        <v>92</v>
      </c>
      <c r="AG43" s="4" t="s">
        <v>61</v>
      </c>
      <c r="AH43" s="4" t="s">
        <v>62</v>
      </c>
      <c r="AK43" s="4" t="s">
        <v>74</v>
      </c>
    </row>
    <row r="44" ht="22.5" customHeight="1">
      <c r="A44" s="3">
        <v>45993.92269309028</v>
      </c>
      <c r="B44" s="4" t="s">
        <v>55</v>
      </c>
      <c r="D44" s="4">
        <v>2.0</v>
      </c>
      <c r="E44" s="4" t="s">
        <v>212</v>
      </c>
      <c r="F44" s="4">
        <v>1.0</v>
      </c>
      <c r="G44" s="4" t="s">
        <v>213</v>
      </c>
      <c r="S44" s="4" t="s">
        <v>57</v>
      </c>
      <c r="T44" s="4">
        <v>1.0</v>
      </c>
      <c r="U44" s="4">
        <v>1.0</v>
      </c>
      <c r="AD44" s="4" t="s">
        <v>214</v>
      </c>
      <c r="AE44" s="4" t="s">
        <v>215</v>
      </c>
      <c r="AF44" s="5" t="s">
        <v>216</v>
      </c>
      <c r="AG44" s="4" t="s">
        <v>67</v>
      </c>
      <c r="AH44" s="4" t="s">
        <v>62</v>
      </c>
      <c r="AK44" s="4" t="s">
        <v>171</v>
      </c>
    </row>
    <row r="45" ht="22.5" customHeight="1">
      <c r="A45" s="3">
        <v>45994.099137488425</v>
      </c>
      <c r="B45" s="4" t="s">
        <v>55</v>
      </c>
      <c r="H45" s="4">
        <v>8.0</v>
      </c>
      <c r="S45" s="4" t="s">
        <v>57</v>
      </c>
      <c r="T45" s="4">
        <v>1.0</v>
      </c>
      <c r="U45" s="4">
        <v>1.0</v>
      </c>
      <c r="AD45" s="4" t="s">
        <v>217</v>
      </c>
      <c r="AE45" s="4" t="s">
        <v>218</v>
      </c>
      <c r="AF45" s="5" t="s">
        <v>219</v>
      </c>
      <c r="AG45" s="4" t="s">
        <v>67</v>
      </c>
      <c r="AH45" s="4" t="s">
        <v>68</v>
      </c>
      <c r="AJ45" s="5" t="s">
        <v>220</v>
      </c>
      <c r="AK45" s="4" t="s">
        <v>69</v>
      </c>
      <c r="AL45" s="4" t="s">
        <v>217</v>
      </c>
      <c r="AM45" s="4" t="s">
        <v>221</v>
      </c>
    </row>
    <row r="46" ht="22.5" customHeight="1">
      <c r="A46" s="3">
        <v>45994.342863854166</v>
      </c>
      <c r="B46" s="4" t="s">
        <v>55</v>
      </c>
      <c r="D46" s="4">
        <v>1.0</v>
      </c>
      <c r="E46" s="4" t="s">
        <v>56</v>
      </c>
      <c r="S46" s="4" t="s">
        <v>70</v>
      </c>
      <c r="AD46" s="4" t="s">
        <v>222</v>
      </c>
      <c r="AE46" s="4" t="s">
        <v>223</v>
      </c>
      <c r="AF46" s="5" t="s">
        <v>224</v>
      </c>
      <c r="AG46" s="4" t="s">
        <v>83</v>
      </c>
      <c r="AH46" s="4" t="s">
        <v>68</v>
      </c>
      <c r="AJ46" s="5" t="s">
        <v>225</v>
      </c>
      <c r="AK46" s="4" t="s">
        <v>69</v>
      </c>
      <c r="AL46" s="4" t="s">
        <v>226</v>
      </c>
      <c r="AM46" s="4">
        <v>358006.0</v>
      </c>
    </row>
    <row r="47" ht="22.5" customHeight="1">
      <c r="A47" s="3">
        <v>45994.36881299768</v>
      </c>
      <c r="B47" s="4" t="s">
        <v>55</v>
      </c>
      <c r="C47" s="4">
        <v>1.0</v>
      </c>
      <c r="S47" s="4" t="s">
        <v>70</v>
      </c>
      <c r="AD47" s="4" t="s">
        <v>227</v>
      </c>
      <c r="AE47" s="4" t="s">
        <v>228</v>
      </c>
      <c r="AF47" s="5" t="s">
        <v>229</v>
      </c>
      <c r="AG47" s="4" t="s">
        <v>67</v>
      </c>
      <c r="AH47" s="4" t="s">
        <v>62</v>
      </c>
      <c r="AK47" s="4" t="s">
        <v>171</v>
      </c>
      <c r="AW47" s="4">
        <v>1.0</v>
      </c>
    </row>
    <row r="48" ht="22.5" customHeight="1">
      <c r="A48" s="3">
        <v>45994.518746608795</v>
      </c>
      <c r="B48" s="4" t="s">
        <v>55</v>
      </c>
      <c r="H48" s="4" t="s">
        <v>230</v>
      </c>
      <c r="S48" s="4" t="s">
        <v>70</v>
      </c>
      <c r="AD48" s="4" t="s">
        <v>231</v>
      </c>
      <c r="AE48" s="4" t="s">
        <v>232</v>
      </c>
      <c r="AF48" s="5" t="s">
        <v>233</v>
      </c>
      <c r="AG48" s="4" t="s">
        <v>67</v>
      </c>
      <c r="AH48" s="4" t="s">
        <v>68</v>
      </c>
      <c r="AJ48" s="4" t="s">
        <v>234</v>
      </c>
      <c r="AK48" s="4" t="s">
        <v>69</v>
      </c>
      <c r="AL48" s="4" t="s">
        <v>231</v>
      </c>
      <c r="AM48" s="4" t="s">
        <v>235</v>
      </c>
      <c r="AW48" s="4">
        <v>2.0</v>
      </c>
      <c r="AY48" s="4">
        <v>2.0</v>
      </c>
    </row>
    <row r="49" ht="22.5" customHeight="1">
      <c r="A49" s="3">
        <v>45994.73545278935</v>
      </c>
      <c r="B49" s="4" t="s">
        <v>75</v>
      </c>
      <c r="X49" s="4">
        <v>1.0</v>
      </c>
      <c r="AD49" s="4" t="s">
        <v>236</v>
      </c>
      <c r="AE49" s="4" t="s">
        <v>237</v>
      </c>
      <c r="AF49" s="5" t="s">
        <v>238</v>
      </c>
      <c r="AG49" s="4" t="s">
        <v>103</v>
      </c>
      <c r="AH49" s="4" t="s">
        <v>68</v>
      </c>
      <c r="AJ49" s="4" t="s">
        <v>239</v>
      </c>
      <c r="AK49" s="4" t="s">
        <v>63</v>
      </c>
      <c r="AR49" s="4">
        <v>1.0</v>
      </c>
      <c r="AS49" s="4">
        <v>1.0</v>
      </c>
    </row>
    <row r="50" ht="22.5" customHeight="1">
      <c r="A50" s="3">
        <v>45994.899795081015</v>
      </c>
      <c r="B50" s="4" t="s">
        <v>75</v>
      </c>
      <c r="AD50" s="4" t="s">
        <v>240</v>
      </c>
      <c r="AE50" s="4" t="s">
        <v>241</v>
      </c>
      <c r="AF50" s="5" t="s">
        <v>242</v>
      </c>
      <c r="AG50" s="4" t="s">
        <v>103</v>
      </c>
      <c r="AH50" s="4" t="s">
        <v>62</v>
      </c>
      <c r="AK50" s="4" t="s">
        <v>74</v>
      </c>
      <c r="AR50" s="4">
        <v>1.0</v>
      </c>
      <c r="AS50" s="4">
        <v>1.0</v>
      </c>
    </row>
    <row r="51" ht="22.5" customHeight="1">
      <c r="A51" s="3">
        <v>45994.90806342593</v>
      </c>
      <c r="B51" s="4" t="s">
        <v>55</v>
      </c>
      <c r="F51" s="4">
        <v>1.0</v>
      </c>
      <c r="G51" s="4" t="s">
        <v>56</v>
      </c>
      <c r="S51" s="4" t="s">
        <v>70</v>
      </c>
      <c r="AD51" s="4" t="s">
        <v>243</v>
      </c>
      <c r="AE51" s="4" t="s">
        <v>244</v>
      </c>
      <c r="AF51" s="5" t="s">
        <v>245</v>
      </c>
      <c r="AG51" s="4" t="s">
        <v>61</v>
      </c>
      <c r="AH51" s="4" t="s">
        <v>62</v>
      </c>
      <c r="AK51" s="4" t="s">
        <v>63</v>
      </c>
    </row>
    <row r="52" ht="22.5" customHeight="1">
      <c r="A52" s="3">
        <v>45994.91022240741</v>
      </c>
      <c r="B52" s="4" t="s">
        <v>55</v>
      </c>
      <c r="C52" s="4">
        <v>2.0</v>
      </c>
      <c r="I52" s="4">
        <v>3.0</v>
      </c>
      <c r="S52" s="4" t="s">
        <v>70</v>
      </c>
      <c r="AD52" s="4" t="s">
        <v>246</v>
      </c>
      <c r="AE52" s="4" t="s">
        <v>247</v>
      </c>
      <c r="AF52" s="5" t="s">
        <v>248</v>
      </c>
      <c r="AG52" s="4" t="s">
        <v>67</v>
      </c>
      <c r="AH52" s="4" t="s">
        <v>62</v>
      </c>
      <c r="AK52" s="4" t="s">
        <v>171</v>
      </c>
      <c r="AT52" s="4">
        <v>2.0</v>
      </c>
      <c r="AV52" s="4">
        <v>1.0</v>
      </c>
      <c r="AW52" s="4">
        <v>2.0</v>
      </c>
    </row>
    <row r="53" ht="22.5" customHeight="1">
      <c r="A53" s="3">
        <v>45995.40906208333</v>
      </c>
      <c r="B53" s="4" t="s">
        <v>55</v>
      </c>
      <c r="F53" s="4">
        <v>2.0</v>
      </c>
      <c r="G53" s="4" t="s">
        <v>249</v>
      </c>
      <c r="I53" s="4">
        <v>1.0</v>
      </c>
      <c r="S53" s="4" t="s">
        <v>57</v>
      </c>
      <c r="U53" s="4">
        <v>2.0</v>
      </c>
      <c r="AD53" s="4" t="s">
        <v>250</v>
      </c>
      <c r="AE53" s="4" t="s">
        <v>251</v>
      </c>
      <c r="AF53" s="5" t="s">
        <v>252</v>
      </c>
      <c r="AG53" s="4" t="s">
        <v>67</v>
      </c>
      <c r="AH53" s="4" t="s">
        <v>68</v>
      </c>
      <c r="AJ53" s="4">
        <v>38640.0</v>
      </c>
      <c r="AK53" s="4" t="s">
        <v>69</v>
      </c>
      <c r="AL53" s="4" t="s">
        <v>250</v>
      </c>
      <c r="AM53" s="4" t="s">
        <v>253</v>
      </c>
    </row>
    <row r="54" ht="22.5" customHeight="1">
      <c r="A54" s="3">
        <v>45995.51810659722</v>
      </c>
      <c r="B54" s="4" t="s">
        <v>55</v>
      </c>
      <c r="D54" s="4">
        <v>1.0</v>
      </c>
      <c r="E54" s="4" t="s">
        <v>254</v>
      </c>
      <c r="S54" s="4" t="s">
        <v>57</v>
      </c>
      <c r="U54" s="4">
        <v>1.0</v>
      </c>
      <c r="AD54" s="4" t="s">
        <v>255</v>
      </c>
      <c r="AE54" s="4" t="s">
        <v>256</v>
      </c>
      <c r="AF54" s="5" t="s">
        <v>257</v>
      </c>
      <c r="AG54" s="4" t="s">
        <v>103</v>
      </c>
      <c r="AH54" s="4" t="s">
        <v>62</v>
      </c>
      <c r="AI54" s="4" t="s">
        <v>258</v>
      </c>
      <c r="AK54" s="4" t="s">
        <v>74</v>
      </c>
    </row>
    <row r="55" ht="22.5" customHeight="1">
      <c r="A55" s="3">
        <v>45995.604087858796</v>
      </c>
      <c r="B55" s="4" t="s">
        <v>55</v>
      </c>
      <c r="C55" s="4">
        <v>2.0</v>
      </c>
      <c r="I55" s="4">
        <v>1.0</v>
      </c>
      <c r="S55" s="4" t="s">
        <v>57</v>
      </c>
      <c r="T55" s="4">
        <v>1.0</v>
      </c>
      <c r="U55" s="4">
        <v>1.0</v>
      </c>
      <c r="AD55" s="4" t="s">
        <v>259</v>
      </c>
      <c r="AE55" s="4" t="s">
        <v>260</v>
      </c>
      <c r="AF55" s="5" t="s">
        <v>261</v>
      </c>
      <c r="AG55" s="4" t="s">
        <v>61</v>
      </c>
      <c r="AH55" s="4" t="s">
        <v>68</v>
      </c>
      <c r="AJ55" s="4">
        <v>31637.0</v>
      </c>
      <c r="AK55" s="4" t="s">
        <v>69</v>
      </c>
      <c r="AL55" s="4" t="s">
        <v>259</v>
      </c>
      <c r="AM55" s="4" t="s">
        <v>262</v>
      </c>
      <c r="AV55" s="4">
        <v>1.0</v>
      </c>
      <c r="AW55" s="4">
        <v>1.0</v>
      </c>
      <c r="AX55" s="4">
        <v>1.0</v>
      </c>
      <c r="AY55" s="4">
        <v>1.0</v>
      </c>
    </row>
    <row r="56" ht="22.5" customHeight="1">
      <c r="A56" s="3">
        <v>45995.61800259259</v>
      </c>
      <c r="B56" s="4" t="s">
        <v>55</v>
      </c>
      <c r="C56" s="4">
        <v>1.0</v>
      </c>
      <c r="S56" s="4" t="s">
        <v>57</v>
      </c>
      <c r="T56" s="4">
        <v>4.0</v>
      </c>
      <c r="U56" s="4">
        <v>4.0</v>
      </c>
      <c r="AD56" s="4" t="s">
        <v>263</v>
      </c>
      <c r="AE56" s="4" t="s">
        <v>260</v>
      </c>
      <c r="AF56" s="5" t="s">
        <v>261</v>
      </c>
      <c r="AG56" s="4" t="s">
        <v>61</v>
      </c>
      <c r="AH56" s="4" t="s">
        <v>68</v>
      </c>
      <c r="AI56" s="4" t="s">
        <v>264</v>
      </c>
      <c r="AJ56" s="4">
        <v>31637.0</v>
      </c>
      <c r="AK56" s="4" t="s">
        <v>69</v>
      </c>
      <c r="AL56" s="4" t="s">
        <v>265</v>
      </c>
      <c r="AM56" s="4" t="s">
        <v>266</v>
      </c>
      <c r="AU56" s="4">
        <v>3.0</v>
      </c>
      <c r="AW56" s="4">
        <v>2.0</v>
      </c>
      <c r="AY56" s="4">
        <v>2.0</v>
      </c>
      <c r="BB56" s="4">
        <v>1.0</v>
      </c>
    </row>
    <row r="57" ht="22.5" customHeight="1">
      <c r="A57" s="3">
        <v>45995.62223288194</v>
      </c>
      <c r="B57" s="4" t="s">
        <v>55</v>
      </c>
      <c r="C57" s="4">
        <v>1.0</v>
      </c>
      <c r="S57" s="4" t="s">
        <v>57</v>
      </c>
      <c r="T57" s="4">
        <v>1.0</v>
      </c>
      <c r="U57" s="4">
        <v>1.0</v>
      </c>
      <c r="AD57" s="4" t="s">
        <v>263</v>
      </c>
      <c r="AE57" s="4" t="s">
        <v>260</v>
      </c>
      <c r="AF57" s="5" t="s">
        <v>261</v>
      </c>
      <c r="AG57" s="4" t="s">
        <v>61</v>
      </c>
      <c r="AH57" s="4" t="s">
        <v>68</v>
      </c>
      <c r="AJ57" s="4">
        <v>31637.0</v>
      </c>
      <c r="AK57" s="4" t="s">
        <v>63</v>
      </c>
      <c r="AZ57" s="4">
        <v>7.0</v>
      </c>
      <c r="BA57" s="4">
        <v>7.0</v>
      </c>
    </row>
    <row r="58" ht="22.5" customHeight="1">
      <c r="A58" s="3">
        <v>45995.63457609953</v>
      </c>
      <c r="B58" s="4" t="s">
        <v>55</v>
      </c>
      <c r="D58" s="4">
        <v>1.0</v>
      </c>
      <c r="E58" s="4" t="s">
        <v>267</v>
      </c>
      <c r="S58" s="4" t="s">
        <v>57</v>
      </c>
      <c r="U58" s="4">
        <v>1.0</v>
      </c>
      <c r="AD58" s="4" t="s">
        <v>268</v>
      </c>
      <c r="AE58" s="4" t="s">
        <v>269</v>
      </c>
      <c r="AF58" s="5" t="s">
        <v>270</v>
      </c>
      <c r="AG58" s="4" t="s">
        <v>103</v>
      </c>
      <c r="AH58" s="4" t="s">
        <v>68</v>
      </c>
      <c r="AJ58" s="4">
        <v>13247.0</v>
      </c>
      <c r="AK58" s="4" t="s">
        <v>74</v>
      </c>
      <c r="AZ58" s="4">
        <v>3.0</v>
      </c>
      <c r="BA58" s="4">
        <v>2.0</v>
      </c>
    </row>
    <row r="59" ht="22.5" customHeight="1">
      <c r="A59" s="3">
        <v>45995.71863184028</v>
      </c>
      <c r="B59" s="4" t="s">
        <v>55</v>
      </c>
      <c r="D59" s="4">
        <v>1.0</v>
      </c>
      <c r="E59" s="4" t="s">
        <v>119</v>
      </c>
      <c r="S59" s="4" t="s">
        <v>70</v>
      </c>
      <c r="AD59" s="4" t="s">
        <v>271</v>
      </c>
      <c r="AE59" s="4" t="s">
        <v>272</v>
      </c>
      <c r="AF59" s="5" t="s">
        <v>273</v>
      </c>
      <c r="AG59" s="4" t="s">
        <v>61</v>
      </c>
      <c r="AH59" s="4" t="s">
        <v>62</v>
      </c>
      <c r="AK59" s="4" t="s">
        <v>74</v>
      </c>
    </row>
    <row r="60" ht="22.5" customHeight="1">
      <c r="A60" s="3">
        <v>45995.723150833335</v>
      </c>
      <c r="B60" s="4" t="s">
        <v>55</v>
      </c>
      <c r="D60" s="4">
        <v>1.0</v>
      </c>
      <c r="E60" s="4" t="s">
        <v>119</v>
      </c>
      <c r="S60" s="4" t="s">
        <v>57</v>
      </c>
      <c r="U60" s="4">
        <v>1.0</v>
      </c>
      <c r="AD60" s="4" t="s">
        <v>274</v>
      </c>
      <c r="AE60" s="4" t="s">
        <v>275</v>
      </c>
      <c r="AF60" s="5" t="s">
        <v>276</v>
      </c>
      <c r="AG60" s="4" t="s">
        <v>61</v>
      </c>
      <c r="AH60" s="4" t="s">
        <v>62</v>
      </c>
      <c r="AK60" s="4" t="s">
        <v>74</v>
      </c>
      <c r="BA60" s="4">
        <v>2.0</v>
      </c>
    </row>
    <row r="61" ht="22.5" customHeight="1">
      <c r="A61" s="3">
        <v>45995.767489328704</v>
      </c>
      <c r="B61" s="4" t="s">
        <v>55</v>
      </c>
      <c r="D61" s="4">
        <v>1.0</v>
      </c>
      <c r="E61" s="4" t="s">
        <v>277</v>
      </c>
      <c r="S61" s="4" t="s">
        <v>70</v>
      </c>
      <c r="AD61" s="4" t="s">
        <v>278</v>
      </c>
      <c r="AE61" s="4" t="s">
        <v>279</v>
      </c>
      <c r="AF61" s="5" t="s">
        <v>280</v>
      </c>
      <c r="AG61" s="4" t="s">
        <v>103</v>
      </c>
      <c r="AH61" s="4" t="s">
        <v>62</v>
      </c>
      <c r="AK61" s="4" t="s">
        <v>74</v>
      </c>
      <c r="BA61" s="4">
        <v>1.0</v>
      </c>
    </row>
    <row r="62" ht="22.5" customHeight="1">
      <c r="A62" s="3">
        <v>45995.955028738426</v>
      </c>
      <c r="B62" s="4" t="s">
        <v>75</v>
      </c>
      <c r="Z62" s="4">
        <v>2.0</v>
      </c>
      <c r="AD62" s="4" t="s">
        <v>281</v>
      </c>
      <c r="AE62" s="4" t="s">
        <v>282</v>
      </c>
      <c r="AF62" s="5" t="s">
        <v>283</v>
      </c>
      <c r="AG62" s="4" t="s">
        <v>67</v>
      </c>
      <c r="AH62" s="4" t="s">
        <v>62</v>
      </c>
      <c r="AI62" s="4" t="s">
        <v>284</v>
      </c>
      <c r="AK62" s="4" t="s">
        <v>171</v>
      </c>
    </row>
    <row r="63" ht="22.5" customHeight="1">
      <c r="A63" s="3">
        <v>45995.97464826389</v>
      </c>
      <c r="B63" s="4" t="s">
        <v>75</v>
      </c>
      <c r="Z63" s="4">
        <v>3.0</v>
      </c>
      <c r="AD63" s="4" t="s">
        <v>271</v>
      </c>
      <c r="AE63" s="4" t="s">
        <v>272</v>
      </c>
      <c r="AF63" s="5" t="s">
        <v>273</v>
      </c>
      <c r="AG63" s="4" t="s">
        <v>61</v>
      </c>
      <c r="AH63" s="4" t="s">
        <v>62</v>
      </c>
      <c r="AK63" s="4" t="s">
        <v>74</v>
      </c>
      <c r="AR63" s="4">
        <v>1.0</v>
      </c>
      <c r="AS63" s="4">
        <v>1.0</v>
      </c>
    </row>
    <row r="64" ht="22.5" customHeight="1">
      <c r="A64" s="3">
        <v>45996.01865597222</v>
      </c>
      <c r="B64" s="4" t="s">
        <v>55</v>
      </c>
      <c r="C64" s="4">
        <v>1.0</v>
      </c>
      <c r="S64" s="4" t="s">
        <v>57</v>
      </c>
      <c r="T64" s="4">
        <v>1.0</v>
      </c>
      <c r="U64" s="4">
        <v>1.0</v>
      </c>
      <c r="AD64" s="4" t="s">
        <v>285</v>
      </c>
      <c r="AE64" s="4" t="s">
        <v>286</v>
      </c>
      <c r="AF64" s="5" t="s">
        <v>287</v>
      </c>
      <c r="AG64" s="4" t="s">
        <v>61</v>
      </c>
      <c r="AH64" s="4" t="s">
        <v>62</v>
      </c>
      <c r="AK64" s="4" t="s">
        <v>74</v>
      </c>
    </row>
    <row r="65" ht="22.5" customHeight="1">
      <c r="A65" s="3">
        <v>45996.03291101852</v>
      </c>
      <c r="B65" s="4" t="s">
        <v>55</v>
      </c>
      <c r="D65" s="4">
        <v>1.0</v>
      </c>
      <c r="E65" s="4" t="s">
        <v>288</v>
      </c>
      <c r="S65" s="4" t="s">
        <v>57</v>
      </c>
      <c r="T65" s="4">
        <v>1.0</v>
      </c>
      <c r="U65" s="4">
        <v>1.0</v>
      </c>
      <c r="AD65" s="4" t="s">
        <v>289</v>
      </c>
      <c r="AE65" s="4" t="s">
        <v>290</v>
      </c>
      <c r="AF65" s="5" t="s">
        <v>291</v>
      </c>
      <c r="AG65" s="4" t="s">
        <v>61</v>
      </c>
      <c r="AH65" s="4" t="s">
        <v>62</v>
      </c>
      <c r="AI65" s="4" t="s">
        <v>292</v>
      </c>
      <c r="AK65" s="4" t="s">
        <v>74</v>
      </c>
      <c r="AW65" s="4">
        <v>1.0</v>
      </c>
    </row>
    <row r="66" ht="22.5" customHeight="1">
      <c r="A66" s="3">
        <v>45996.32206111111</v>
      </c>
      <c r="B66" s="4" t="s">
        <v>75</v>
      </c>
      <c r="Z66" s="4">
        <v>3.0</v>
      </c>
      <c r="AD66" s="4" t="s">
        <v>159</v>
      </c>
      <c r="AE66" s="4" t="s">
        <v>160</v>
      </c>
      <c r="AF66" s="5" t="s">
        <v>161</v>
      </c>
      <c r="AG66" s="4" t="s">
        <v>67</v>
      </c>
      <c r="AH66" s="4" t="s">
        <v>68</v>
      </c>
      <c r="AJ66" s="4">
        <v>92024.0</v>
      </c>
      <c r="AK66" s="4" t="s">
        <v>69</v>
      </c>
      <c r="AL66" s="4" t="s">
        <v>159</v>
      </c>
      <c r="AM66" s="4" t="s">
        <v>293</v>
      </c>
      <c r="AQ66" s="4">
        <v>3.0</v>
      </c>
    </row>
    <row r="67" ht="22.5" customHeight="1">
      <c r="A67" s="3">
        <v>45996.43340685185</v>
      </c>
      <c r="B67" s="4" t="s">
        <v>75</v>
      </c>
      <c r="AD67" s="4" t="s">
        <v>294</v>
      </c>
      <c r="AE67" s="4" t="s">
        <v>295</v>
      </c>
      <c r="AF67" s="5" t="s">
        <v>296</v>
      </c>
      <c r="AG67" s="4" t="s">
        <v>103</v>
      </c>
      <c r="AH67" s="4" t="s">
        <v>62</v>
      </c>
      <c r="AK67" s="4" t="s">
        <v>74</v>
      </c>
      <c r="AR67" s="4">
        <v>1.0</v>
      </c>
    </row>
    <row r="68" ht="22.5" customHeight="1">
      <c r="A68" s="3">
        <v>45996.47205207176</v>
      </c>
      <c r="B68" s="4" t="s">
        <v>75</v>
      </c>
      <c r="Z68" s="4">
        <v>1.0</v>
      </c>
      <c r="AD68" s="4" t="s">
        <v>297</v>
      </c>
      <c r="AE68" s="4" t="s">
        <v>298</v>
      </c>
      <c r="AF68" s="5" t="s">
        <v>299</v>
      </c>
      <c r="AG68" s="4" t="s">
        <v>103</v>
      </c>
      <c r="AH68" s="4" t="s">
        <v>68</v>
      </c>
      <c r="AJ68" s="4">
        <v>20779.0</v>
      </c>
      <c r="AK68" s="4" t="s">
        <v>74</v>
      </c>
      <c r="AR68" s="4">
        <v>1.0</v>
      </c>
      <c r="AS68" s="4">
        <v>1.0</v>
      </c>
    </row>
    <row r="69" ht="22.5" customHeight="1">
      <c r="A69" s="3">
        <v>45996.58942369213</v>
      </c>
      <c r="B69" s="4" t="s">
        <v>75</v>
      </c>
      <c r="W69" s="4">
        <v>1.0</v>
      </c>
      <c r="AD69" s="4" t="s">
        <v>300</v>
      </c>
      <c r="AE69" s="4" t="s">
        <v>301</v>
      </c>
      <c r="AF69" s="5" t="s">
        <v>302</v>
      </c>
      <c r="AG69" s="4" t="s">
        <v>67</v>
      </c>
      <c r="AH69" s="4" t="s">
        <v>62</v>
      </c>
      <c r="AK69" s="4" t="s">
        <v>74</v>
      </c>
      <c r="AQ69" s="4">
        <v>3.0</v>
      </c>
    </row>
    <row r="70" ht="22.5" customHeight="1">
      <c r="A70" s="3">
        <v>45996.86969723379</v>
      </c>
      <c r="B70" s="4" t="s">
        <v>55</v>
      </c>
      <c r="C70" s="4">
        <v>1.0</v>
      </c>
      <c r="S70" s="4" t="s">
        <v>70</v>
      </c>
      <c r="AD70" s="4" t="s">
        <v>303</v>
      </c>
      <c r="AE70" s="4" t="s">
        <v>304</v>
      </c>
      <c r="AF70" s="5" t="s">
        <v>305</v>
      </c>
      <c r="AG70" s="4" t="s">
        <v>83</v>
      </c>
      <c r="AH70" s="4" t="s">
        <v>68</v>
      </c>
      <c r="AI70" s="4" t="s">
        <v>306</v>
      </c>
      <c r="AJ70" s="4">
        <v>89434.0</v>
      </c>
      <c r="AK70" s="4" t="s">
        <v>69</v>
      </c>
      <c r="AL70" s="4" t="s">
        <v>303</v>
      </c>
      <c r="AM70" s="4" t="s">
        <v>307</v>
      </c>
      <c r="AU70" s="4">
        <v>1.0</v>
      </c>
      <c r="AW70" s="4">
        <v>1.0</v>
      </c>
      <c r="AX70" s="4">
        <v>1.0</v>
      </c>
      <c r="AY70" s="4">
        <v>1.0</v>
      </c>
    </row>
    <row r="71" ht="22.5" customHeight="1">
      <c r="A71" s="3">
        <v>45996.9145928588</v>
      </c>
      <c r="B71" s="4" t="s">
        <v>55</v>
      </c>
      <c r="H71" s="4">
        <v>2.0</v>
      </c>
      <c r="S71" s="4" t="s">
        <v>70</v>
      </c>
      <c r="AD71" s="4" t="s">
        <v>308</v>
      </c>
      <c r="AE71" s="4" t="s">
        <v>309</v>
      </c>
      <c r="AF71" s="5" t="s">
        <v>310</v>
      </c>
      <c r="AG71" s="4" t="s">
        <v>67</v>
      </c>
      <c r="AH71" s="4" t="s">
        <v>62</v>
      </c>
      <c r="AI71" s="4" t="s">
        <v>311</v>
      </c>
      <c r="AK71" s="4" t="s">
        <v>69</v>
      </c>
      <c r="AL71" s="4" t="s">
        <v>199</v>
      </c>
      <c r="AM71" s="4" t="s">
        <v>312</v>
      </c>
    </row>
    <row r="72" ht="22.5" customHeight="1">
      <c r="A72" s="3">
        <v>45997.04501851852</v>
      </c>
      <c r="B72" s="4" t="s">
        <v>55</v>
      </c>
      <c r="C72" s="4">
        <v>2.0</v>
      </c>
      <c r="S72" s="4" t="s">
        <v>70</v>
      </c>
      <c r="AD72" s="4" t="s">
        <v>313</v>
      </c>
      <c r="AE72" s="4" t="s">
        <v>314</v>
      </c>
      <c r="AF72" s="5" t="s">
        <v>315</v>
      </c>
      <c r="AG72" s="4" t="s">
        <v>67</v>
      </c>
      <c r="AH72" s="4" t="s">
        <v>68</v>
      </c>
      <c r="AJ72" s="4">
        <v>94879.0</v>
      </c>
      <c r="AK72" s="4" t="s">
        <v>69</v>
      </c>
      <c r="AL72" s="4" t="s">
        <v>313</v>
      </c>
      <c r="AM72" s="4" t="s">
        <v>316</v>
      </c>
    </row>
    <row r="73" ht="22.5" customHeight="1">
      <c r="A73" s="3">
        <v>45997.08143184028</v>
      </c>
      <c r="B73" s="4" t="s">
        <v>75</v>
      </c>
      <c r="X73" s="4">
        <v>2.0</v>
      </c>
      <c r="AD73" s="4" t="s">
        <v>317</v>
      </c>
      <c r="AE73" s="4" t="s">
        <v>318</v>
      </c>
      <c r="AF73" s="5" t="s">
        <v>319</v>
      </c>
      <c r="AG73" s="4" t="s">
        <v>61</v>
      </c>
      <c r="AH73" s="4" t="s">
        <v>62</v>
      </c>
      <c r="AK73" s="4" t="s">
        <v>74</v>
      </c>
      <c r="AR73" s="4">
        <v>3.0</v>
      </c>
      <c r="AS73" s="4">
        <v>3.0</v>
      </c>
    </row>
    <row r="74" ht="22.5" customHeight="1">
      <c r="A74" s="3">
        <v>45997.4236194213</v>
      </c>
      <c r="B74" s="4" t="s">
        <v>75</v>
      </c>
      <c r="AD74" s="4" t="s">
        <v>320</v>
      </c>
      <c r="AE74" s="4" t="s">
        <v>321</v>
      </c>
      <c r="AF74" s="5" t="s">
        <v>322</v>
      </c>
      <c r="AG74" s="4" t="s">
        <v>67</v>
      </c>
      <c r="AH74" s="4" t="s">
        <v>62</v>
      </c>
      <c r="AK74" s="4" t="s">
        <v>63</v>
      </c>
      <c r="AS74" s="4">
        <v>1.0</v>
      </c>
    </row>
    <row r="75" ht="22.5" customHeight="1">
      <c r="A75" s="3">
        <v>45997.44899563657</v>
      </c>
      <c r="B75" s="4" t="s">
        <v>55</v>
      </c>
      <c r="D75" s="4">
        <v>2.0</v>
      </c>
      <c r="E75" s="4" t="s">
        <v>323</v>
      </c>
      <c r="S75" s="4" t="s">
        <v>70</v>
      </c>
      <c r="AD75" s="4" t="s">
        <v>324</v>
      </c>
      <c r="AE75" s="4" t="s">
        <v>325</v>
      </c>
      <c r="AF75" s="5" t="s">
        <v>326</v>
      </c>
      <c r="AG75" s="4" t="s">
        <v>67</v>
      </c>
      <c r="AH75" s="4" t="s">
        <v>68</v>
      </c>
      <c r="AI75" s="4" t="s">
        <v>327</v>
      </c>
      <c r="AJ75" s="5" t="s">
        <v>328</v>
      </c>
      <c r="AK75" s="4" t="s">
        <v>171</v>
      </c>
      <c r="AW75" s="4">
        <v>2.0</v>
      </c>
    </row>
    <row r="76" ht="22.5" customHeight="1">
      <c r="A76" s="3">
        <v>45997.46850912037</v>
      </c>
      <c r="B76" s="4" t="s">
        <v>55</v>
      </c>
      <c r="D76" s="4">
        <v>2.0</v>
      </c>
      <c r="E76" s="4" t="s">
        <v>329</v>
      </c>
      <c r="S76" s="4" t="s">
        <v>57</v>
      </c>
      <c r="U76" s="4">
        <v>2.0</v>
      </c>
      <c r="AD76" s="4" t="s">
        <v>330</v>
      </c>
      <c r="AE76" s="4" t="s">
        <v>331</v>
      </c>
      <c r="AF76" s="5" t="s">
        <v>332</v>
      </c>
      <c r="AG76" s="4" t="s">
        <v>67</v>
      </c>
      <c r="AH76" s="4" t="s">
        <v>62</v>
      </c>
      <c r="AK76" s="4" t="s">
        <v>144</v>
      </c>
      <c r="AW76" s="4">
        <v>2.0</v>
      </c>
      <c r="AY76" s="4">
        <v>2.0</v>
      </c>
    </row>
    <row r="77" ht="22.5" customHeight="1">
      <c r="A77" s="3">
        <v>45997.50256158564</v>
      </c>
      <c r="B77" s="4" t="s">
        <v>55</v>
      </c>
      <c r="D77" s="4">
        <v>2.0</v>
      </c>
      <c r="E77" s="4" t="s">
        <v>333</v>
      </c>
      <c r="S77" s="4" t="s">
        <v>57</v>
      </c>
      <c r="T77" s="4">
        <v>1.0</v>
      </c>
      <c r="U77" s="4">
        <v>1.0</v>
      </c>
      <c r="AD77" s="4" t="s">
        <v>334</v>
      </c>
      <c r="AE77" s="4" t="s">
        <v>335</v>
      </c>
      <c r="AF77" s="5" t="s">
        <v>336</v>
      </c>
      <c r="AG77" s="4" t="s">
        <v>67</v>
      </c>
      <c r="AH77" s="4" t="s">
        <v>68</v>
      </c>
      <c r="AI77" s="4" t="s">
        <v>337</v>
      </c>
      <c r="AJ77" s="4">
        <v>34240.0</v>
      </c>
      <c r="AK77" s="4" t="s">
        <v>63</v>
      </c>
      <c r="AT77" s="4">
        <v>1.0</v>
      </c>
      <c r="AV77" s="4">
        <v>1.0</v>
      </c>
      <c r="AW77" s="4">
        <v>1.0</v>
      </c>
    </row>
    <row r="78" ht="22.5" customHeight="1">
      <c r="A78" s="3">
        <v>45997.50293101852</v>
      </c>
      <c r="B78" s="4" t="s">
        <v>55</v>
      </c>
      <c r="F78" s="4">
        <v>1.0</v>
      </c>
      <c r="G78" s="4" t="s">
        <v>338</v>
      </c>
      <c r="H78" s="4">
        <v>1.0</v>
      </c>
      <c r="S78" s="4" t="s">
        <v>70</v>
      </c>
      <c r="AD78" s="4" t="s">
        <v>339</v>
      </c>
      <c r="AE78" s="4" t="s">
        <v>340</v>
      </c>
      <c r="AF78" s="5" t="s">
        <v>341</v>
      </c>
      <c r="AG78" s="4" t="s">
        <v>83</v>
      </c>
      <c r="AH78" s="4" t="s">
        <v>68</v>
      </c>
      <c r="AJ78" s="4">
        <v>97121.0</v>
      </c>
      <c r="AK78" s="4" t="s">
        <v>69</v>
      </c>
      <c r="AL78" s="4" t="s">
        <v>339</v>
      </c>
      <c r="AM78" s="4" t="s">
        <v>342</v>
      </c>
      <c r="AW78" s="4">
        <v>1.0</v>
      </c>
      <c r="AX78" s="4">
        <v>2.0</v>
      </c>
      <c r="AY78" s="4">
        <v>2.0</v>
      </c>
    </row>
    <row r="79" ht="22.5" customHeight="1">
      <c r="A79" s="3">
        <v>45997.57970101852</v>
      </c>
      <c r="B79" s="4" t="s">
        <v>55</v>
      </c>
      <c r="D79" s="4">
        <v>1.0</v>
      </c>
      <c r="E79" s="4" t="s">
        <v>343</v>
      </c>
      <c r="S79" s="4" t="s">
        <v>57</v>
      </c>
      <c r="U79" s="4">
        <v>1.0</v>
      </c>
      <c r="AD79" s="4" t="s">
        <v>344</v>
      </c>
      <c r="AE79" s="4" t="s">
        <v>345</v>
      </c>
      <c r="AF79" s="5" t="s">
        <v>346</v>
      </c>
      <c r="AG79" s="4" t="s">
        <v>67</v>
      </c>
      <c r="AH79" s="4" t="s">
        <v>62</v>
      </c>
      <c r="AK79" s="4" t="s">
        <v>171</v>
      </c>
      <c r="AX79" s="4">
        <v>1.0</v>
      </c>
    </row>
    <row r="80" ht="22.5" customHeight="1">
      <c r="A80" s="3">
        <v>45997.606779837966</v>
      </c>
      <c r="B80" s="4" t="s">
        <v>75</v>
      </c>
      <c r="Z80" s="4">
        <v>1.0</v>
      </c>
      <c r="AD80" s="4" t="s">
        <v>347</v>
      </c>
      <c r="AE80" s="4" t="s">
        <v>348</v>
      </c>
      <c r="AF80" s="5" t="s">
        <v>349</v>
      </c>
      <c r="AG80" s="4" t="s">
        <v>61</v>
      </c>
      <c r="AH80" s="4" t="s">
        <v>62</v>
      </c>
      <c r="AK80" s="4" t="s">
        <v>63</v>
      </c>
    </row>
    <row r="81" ht="22.5" customHeight="1">
      <c r="A81" s="3">
        <v>45997.77973637731</v>
      </c>
      <c r="B81" s="4" t="s">
        <v>55</v>
      </c>
      <c r="C81" s="4">
        <v>5.0</v>
      </c>
      <c r="D81" s="4">
        <v>2.0</v>
      </c>
      <c r="E81" s="4" t="s">
        <v>350</v>
      </c>
      <c r="H81" s="4">
        <v>1.0</v>
      </c>
      <c r="I81" s="4">
        <v>1.0</v>
      </c>
      <c r="S81" s="4" t="s">
        <v>70</v>
      </c>
      <c r="AD81" s="4" t="s">
        <v>351</v>
      </c>
      <c r="AE81" s="4" t="s">
        <v>352</v>
      </c>
      <c r="AF81" s="5" t="s">
        <v>353</v>
      </c>
      <c r="AG81" s="4" t="s">
        <v>67</v>
      </c>
      <c r="AH81" s="4" t="s">
        <v>62</v>
      </c>
      <c r="AK81" s="4" t="s">
        <v>63</v>
      </c>
      <c r="AU81" s="4">
        <v>6.0</v>
      </c>
      <c r="AV81" s="4">
        <v>1.0</v>
      </c>
      <c r="AW81" s="4">
        <v>5.0</v>
      </c>
      <c r="AZ81" s="4">
        <v>2.0</v>
      </c>
      <c r="BA81" s="4">
        <v>2.0</v>
      </c>
    </row>
    <row r="82" ht="22.5" customHeight="1">
      <c r="A82" s="3">
        <v>45997.85174946759</v>
      </c>
      <c r="B82" s="4" t="s">
        <v>75</v>
      </c>
      <c r="V82" s="4">
        <v>10.0</v>
      </c>
      <c r="AD82" s="4" t="s">
        <v>354</v>
      </c>
      <c r="AE82" s="4" t="s">
        <v>355</v>
      </c>
      <c r="AF82" s="5" t="s">
        <v>356</v>
      </c>
      <c r="AG82" s="4" t="s">
        <v>67</v>
      </c>
      <c r="AH82" s="4" t="s">
        <v>68</v>
      </c>
      <c r="AJ82" s="4">
        <v>29550.0</v>
      </c>
      <c r="AK82" s="4" t="s">
        <v>69</v>
      </c>
      <c r="AL82" s="4" t="s">
        <v>354</v>
      </c>
      <c r="AM82" s="4" t="s">
        <v>357</v>
      </c>
    </row>
    <row r="83" ht="22.5" customHeight="1">
      <c r="A83" s="3">
        <v>45997.857741134256</v>
      </c>
      <c r="B83" s="4" t="s">
        <v>55</v>
      </c>
      <c r="H83" s="4">
        <v>2.0</v>
      </c>
      <c r="I83" s="4">
        <v>2.0</v>
      </c>
      <c r="S83" s="4" t="s">
        <v>70</v>
      </c>
      <c r="AD83" s="4" t="s">
        <v>358</v>
      </c>
      <c r="AE83" s="4" t="s">
        <v>359</v>
      </c>
      <c r="AF83" s="5" t="s">
        <v>360</v>
      </c>
      <c r="AG83" s="4" t="s">
        <v>67</v>
      </c>
      <c r="AH83" s="4" t="s">
        <v>62</v>
      </c>
      <c r="AK83" s="4" t="s">
        <v>171</v>
      </c>
      <c r="AT83" s="4">
        <v>1.0</v>
      </c>
      <c r="AU83" s="4">
        <v>5.0</v>
      </c>
      <c r="AY83" s="4">
        <v>6.0</v>
      </c>
      <c r="BC83" s="4">
        <v>1.0</v>
      </c>
    </row>
    <row r="84" ht="22.5" customHeight="1">
      <c r="A84" s="3">
        <v>45997.86211349537</v>
      </c>
      <c r="B84" s="4" t="s">
        <v>55</v>
      </c>
      <c r="C84" s="4">
        <v>2.0</v>
      </c>
      <c r="D84" s="4">
        <v>1.0</v>
      </c>
      <c r="E84" s="4" t="s">
        <v>361</v>
      </c>
      <c r="F84" s="4">
        <v>1.0</v>
      </c>
      <c r="G84" s="4" t="s">
        <v>361</v>
      </c>
      <c r="S84" s="4" t="s">
        <v>70</v>
      </c>
      <c r="AD84" s="4" t="s">
        <v>362</v>
      </c>
      <c r="AE84" s="4" t="s">
        <v>359</v>
      </c>
      <c r="AF84" s="5" t="s">
        <v>360</v>
      </c>
      <c r="AG84" s="4" t="s">
        <v>61</v>
      </c>
      <c r="AH84" s="4" t="s">
        <v>62</v>
      </c>
      <c r="AI84" s="4" t="s">
        <v>363</v>
      </c>
      <c r="AK84" s="4" t="s">
        <v>74</v>
      </c>
    </row>
    <row r="85" ht="22.5" customHeight="1">
      <c r="A85" s="3">
        <v>45997.87282967592</v>
      </c>
      <c r="B85" s="4" t="s">
        <v>55</v>
      </c>
      <c r="C85" s="4">
        <v>10.0</v>
      </c>
      <c r="D85" s="4">
        <v>5.0</v>
      </c>
      <c r="E85" s="4" t="s">
        <v>364</v>
      </c>
      <c r="F85" s="4">
        <v>2.0</v>
      </c>
      <c r="G85" s="4" t="s">
        <v>365</v>
      </c>
      <c r="H85" s="4">
        <v>2.0</v>
      </c>
      <c r="S85" s="4" t="s">
        <v>57</v>
      </c>
      <c r="T85" s="4">
        <v>6.0</v>
      </c>
      <c r="U85" s="4">
        <v>7.0</v>
      </c>
      <c r="AD85" s="4" t="s">
        <v>366</v>
      </c>
      <c r="AE85" s="4" t="s">
        <v>367</v>
      </c>
      <c r="AF85" s="5" t="s">
        <v>368</v>
      </c>
      <c r="AG85" s="4" t="s">
        <v>67</v>
      </c>
      <c r="AH85" s="4" t="s">
        <v>62</v>
      </c>
      <c r="AK85" s="4" t="s">
        <v>369</v>
      </c>
      <c r="AT85" s="4">
        <v>2.0</v>
      </c>
      <c r="AV85" s="4">
        <v>2.0</v>
      </c>
      <c r="AW85" s="4">
        <v>18.0</v>
      </c>
      <c r="AY85" s="4">
        <v>1.0</v>
      </c>
    </row>
    <row r="86" ht="22.5" customHeight="1">
      <c r="A86" s="3">
        <v>45997.88028269676</v>
      </c>
      <c r="B86" s="4" t="s">
        <v>55</v>
      </c>
      <c r="D86" s="4">
        <v>4.0</v>
      </c>
      <c r="E86" s="4" t="s">
        <v>370</v>
      </c>
      <c r="I86" s="4">
        <v>4.0</v>
      </c>
      <c r="S86" s="4" t="s">
        <v>70</v>
      </c>
      <c r="AD86" s="4" t="s">
        <v>371</v>
      </c>
      <c r="AE86" s="4" t="s">
        <v>359</v>
      </c>
      <c r="AF86" s="5" t="s">
        <v>360</v>
      </c>
      <c r="AG86" s="4" t="s">
        <v>61</v>
      </c>
      <c r="AH86" s="4" t="s">
        <v>62</v>
      </c>
      <c r="AK86" s="4" t="s">
        <v>74</v>
      </c>
      <c r="AW86" s="4">
        <v>12.0</v>
      </c>
      <c r="AZ86" s="4">
        <v>14.0</v>
      </c>
      <c r="BA86" s="4">
        <v>8.0</v>
      </c>
      <c r="BB86" s="4">
        <v>13.0</v>
      </c>
    </row>
    <row r="87" ht="22.5" customHeight="1">
      <c r="A87" s="3">
        <v>45997.88926646991</v>
      </c>
      <c r="B87" s="4" t="s">
        <v>55</v>
      </c>
      <c r="D87" s="4">
        <v>2.0</v>
      </c>
      <c r="H87" s="4">
        <v>1.0</v>
      </c>
      <c r="S87" s="4" t="s">
        <v>57</v>
      </c>
      <c r="U87" s="4">
        <v>3.0</v>
      </c>
      <c r="AD87" s="4" t="s">
        <v>372</v>
      </c>
      <c r="AE87" s="4" t="s">
        <v>373</v>
      </c>
      <c r="AF87" s="5" t="s">
        <v>374</v>
      </c>
      <c r="AG87" s="4" t="s">
        <v>67</v>
      </c>
      <c r="AH87" s="4" t="s">
        <v>62</v>
      </c>
      <c r="AK87" s="4" t="s">
        <v>171</v>
      </c>
      <c r="AT87" s="4">
        <v>1.0</v>
      </c>
      <c r="AY87" s="4">
        <v>1.0</v>
      </c>
    </row>
    <row r="88" ht="22.5" customHeight="1">
      <c r="A88" s="3">
        <v>45997.93279777778</v>
      </c>
      <c r="B88" s="4" t="s">
        <v>55</v>
      </c>
      <c r="C88" s="4">
        <v>2.0</v>
      </c>
      <c r="S88" s="4" t="s">
        <v>57</v>
      </c>
      <c r="U88" s="4">
        <v>1.0</v>
      </c>
      <c r="AD88" s="4" t="s">
        <v>375</v>
      </c>
      <c r="AE88" s="4" t="s">
        <v>376</v>
      </c>
      <c r="AF88" s="5" t="s">
        <v>377</v>
      </c>
      <c r="AG88" s="4" t="s">
        <v>103</v>
      </c>
      <c r="AH88" s="4" t="s">
        <v>62</v>
      </c>
      <c r="AK88" s="4" t="s">
        <v>369</v>
      </c>
      <c r="AV88" s="4">
        <v>1.0</v>
      </c>
    </row>
    <row r="89" ht="22.5" customHeight="1">
      <c r="A89" s="3">
        <v>45997.955970254625</v>
      </c>
      <c r="B89" s="4" t="s">
        <v>55</v>
      </c>
      <c r="C89" s="4">
        <v>1.0</v>
      </c>
      <c r="I89" s="4">
        <v>1.0</v>
      </c>
      <c r="S89" s="4" t="s">
        <v>57</v>
      </c>
      <c r="U89" s="4">
        <v>1.0</v>
      </c>
      <c r="AD89" s="4" t="s">
        <v>378</v>
      </c>
      <c r="AE89" s="4" t="s">
        <v>379</v>
      </c>
      <c r="AF89" s="5" t="s">
        <v>380</v>
      </c>
      <c r="AG89" s="4" t="s">
        <v>103</v>
      </c>
      <c r="AH89" s="4" t="s">
        <v>68</v>
      </c>
      <c r="AJ89" s="4">
        <v>45171.0</v>
      </c>
      <c r="AK89" s="4" t="s">
        <v>69</v>
      </c>
      <c r="AL89" s="4" t="s">
        <v>378</v>
      </c>
      <c r="AM89" s="4">
        <v>551005.0</v>
      </c>
      <c r="AT89" s="4">
        <v>1.0</v>
      </c>
      <c r="AV89" s="4">
        <v>2.0</v>
      </c>
      <c r="AW89" s="4">
        <v>6.0</v>
      </c>
    </row>
    <row r="90" ht="22.5" customHeight="1">
      <c r="A90" s="3">
        <v>45997.96654026621</v>
      </c>
      <c r="B90" s="4" t="s">
        <v>55</v>
      </c>
      <c r="D90" s="4">
        <v>1.0</v>
      </c>
      <c r="E90" s="4" t="s">
        <v>56</v>
      </c>
      <c r="I90" s="4">
        <v>1.0</v>
      </c>
      <c r="S90" s="4" t="s">
        <v>70</v>
      </c>
      <c r="AD90" s="4" t="s">
        <v>381</v>
      </c>
      <c r="AE90" s="4" t="s">
        <v>382</v>
      </c>
      <c r="AF90" s="5" t="s">
        <v>383</v>
      </c>
      <c r="AG90" s="4" t="s">
        <v>61</v>
      </c>
      <c r="AH90" s="4" t="s">
        <v>62</v>
      </c>
      <c r="AK90" s="4" t="s">
        <v>63</v>
      </c>
    </row>
    <row r="91" ht="22.5" customHeight="1">
      <c r="A91" s="3">
        <v>45998.29987047454</v>
      </c>
      <c r="B91" s="4" t="s">
        <v>55</v>
      </c>
      <c r="D91" s="4">
        <v>2.0</v>
      </c>
      <c r="E91" s="4" t="s">
        <v>56</v>
      </c>
      <c r="S91" s="4" t="s">
        <v>57</v>
      </c>
      <c r="T91" s="4">
        <v>1.0</v>
      </c>
      <c r="U91" s="4">
        <v>1.0</v>
      </c>
      <c r="AD91" s="4" t="s">
        <v>384</v>
      </c>
      <c r="AE91" s="4" t="s">
        <v>385</v>
      </c>
      <c r="AF91" s="5" t="s">
        <v>386</v>
      </c>
      <c r="AG91" s="4" t="s">
        <v>61</v>
      </c>
      <c r="AH91" s="4" t="s">
        <v>62</v>
      </c>
      <c r="AK91" s="4" t="s">
        <v>69</v>
      </c>
      <c r="AL91" s="4" t="s">
        <v>384</v>
      </c>
      <c r="AM91" s="4" t="s">
        <v>387</v>
      </c>
      <c r="AV91" s="4">
        <v>1.0</v>
      </c>
      <c r="AW91" s="4">
        <v>5.0</v>
      </c>
    </row>
    <row r="92" ht="22.5" customHeight="1">
      <c r="A92" s="3">
        <v>45998.36747363426</v>
      </c>
      <c r="B92" s="4" t="s">
        <v>55</v>
      </c>
      <c r="H92" s="4">
        <v>1.0</v>
      </c>
      <c r="S92" s="4" t="s">
        <v>70</v>
      </c>
      <c r="Y92" s="4">
        <v>1.0</v>
      </c>
      <c r="Z92" s="4">
        <v>2.0</v>
      </c>
      <c r="AD92" s="4" t="s">
        <v>388</v>
      </c>
      <c r="AE92" s="4" t="s">
        <v>389</v>
      </c>
      <c r="AF92" s="5" t="s">
        <v>390</v>
      </c>
      <c r="AG92" s="4" t="s">
        <v>67</v>
      </c>
      <c r="AH92" s="4" t="s">
        <v>68</v>
      </c>
      <c r="AJ92" s="4">
        <v>13743.0</v>
      </c>
      <c r="AK92" s="4" t="s">
        <v>69</v>
      </c>
      <c r="AL92" s="4" t="s">
        <v>388</v>
      </c>
      <c r="AM92" s="4" t="s">
        <v>391</v>
      </c>
      <c r="AV92" s="4">
        <v>2.0</v>
      </c>
    </row>
    <row r="93" ht="22.5" customHeight="1">
      <c r="A93" s="3">
        <v>45998.38081283565</v>
      </c>
      <c r="B93" s="4" t="s">
        <v>55</v>
      </c>
      <c r="H93" s="4">
        <v>1.0</v>
      </c>
      <c r="S93" s="4" t="s">
        <v>70</v>
      </c>
      <c r="AD93" s="4" t="s">
        <v>392</v>
      </c>
      <c r="AE93" s="4" t="s">
        <v>393</v>
      </c>
      <c r="AF93" s="5" t="s">
        <v>394</v>
      </c>
      <c r="AG93" s="4" t="s">
        <v>67</v>
      </c>
      <c r="AH93" s="4" t="s">
        <v>68</v>
      </c>
      <c r="AJ93" s="5" t="s">
        <v>395</v>
      </c>
      <c r="AK93" s="4" t="s">
        <v>69</v>
      </c>
      <c r="AL93" s="4" t="s">
        <v>396</v>
      </c>
      <c r="AM93" s="4" t="s">
        <v>397</v>
      </c>
    </row>
    <row r="94" ht="22.5" customHeight="1">
      <c r="A94" s="3">
        <v>45998.47083988426</v>
      </c>
      <c r="B94" s="4" t="s">
        <v>55</v>
      </c>
      <c r="C94" s="4">
        <v>4.0</v>
      </c>
      <c r="D94" s="4">
        <v>1.0</v>
      </c>
      <c r="E94" s="4" t="s">
        <v>398</v>
      </c>
      <c r="I94" s="4">
        <v>1.0</v>
      </c>
      <c r="S94" s="4" t="s">
        <v>57</v>
      </c>
      <c r="T94" s="4">
        <v>15.0</v>
      </c>
      <c r="AD94" s="4" t="s">
        <v>399</v>
      </c>
      <c r="AE94" s="4" t="s">
        <v>400</v>
      </c>
      <c r="AF94" s="5" t="s">
        <v>401</v>
      </c>
      <c r="AG94" s="4" t="s">
        <v>67</v>
      </c>
      <c r="AH94" s="4" t="s">
        <v>68</v>
      </c>
      <c r="AJ94" s="4">
        <v>40236.0</v>
      </c>
      <c r="AK94" s="4" t="s">
        <v>171</v>
      </c>
      <c r="AT94" s="4">
        <v>2.0</v>
      </c>
      <c r="AU94" s="4">
        <v>4.0</v>
      </c>
      <c r="AV94" s="4">
        <v>1.0</v>
      </c>
      <c r="AW94" s="4">
        <v>12.0</v>
      </c>
      <c r="AX94" s="4">
        <v>36.0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8.88"/>
    <col customWidth="1" min="4" max="4" width="28.38"/>
    <col customWidth="1" min="5" max="5" width="34.88"/>
    <col customWidth="1" min="6" max="6" width="18.88"/>
    <col customWidth="1" min="7" max="7" width="33.38"/>
    <col customWidth="1" min="8" max="9" width="18.88"/>
    <col customWidth="1" min="10" max="11" width="21.13"/>
    <col customWidth="1" min="12" max="12" width="26.75"/>
    <col customWidth="1" min="13" max="13" width="20.38"/>
    <col customWidth="1" min="14" max="15" width="18.88"/>
    <col customWidth="1" min="16" max="17" width="26.13"/>
    <col customWidth="1" min="18" max="18" width="29.75"/>
    <col customWidth="1" min="19" max="19" width="22.88"/>
    <col customWidth="1" min="20" max="20" width="31.13"/>
    <col customWidth="1" min="21" max="24" width="18.88"/>
    <col customWidth="1" min="25" max="26" width="21.13"/>
    <col customWidth="1" min="27" max="27" width="22.13"/>
    <col customWidth="1" min="28" max="28" width="20.0"/>
    <col customWidth="1" min="29" max="30" width="27.0"/>
    <col customWidth="1" min="32" max="33" width="18.88"/>
    <col customWidth="1" min="34" max="34" width="23.75"/>
    <col customWidth="1" min="35" max="36" width="18.88"/>
    <col customWidth="1" min="37" max="37" width="33.13"/>
    <col customWidth="1" min="39" max="62" width="18.88"/>
  </cols>
  <sheetData>
    <row r="1">
      <c r="A1" s="6" t="str">
        <f t="shared" ref="A1:A94" si="1"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/>
      </c>
      <c r="B1" s="7"/>
      <c r="C1" s="7"/>
      <c r="D1" s="7"/>
      <c r="T1" s="7"/>
      <c r="V1" s="7"/>
      <c r="AF1" s="7"/>
      <c r="AG1" s="7"/>
      <c r="AH1" s="7"/>
      <c r="AI1" s="7"/>
      <c r="AK1" s="7"/>
      <c r="AM1" s="7"/>
      <c r="AN1" s="7"/>
      <c r="AW1" s="7"/>
      <c r="BA1" s="7"/>
      <c r="BB1" s="7"/>
    </row>
    <row r="2">
      <c r="A2" s="6" t="str">
        <f t="shared" si="1"/>
        <v>0</v>
      </c>
      <c r="B2" s="8" t="s">
        <v>35</v>
      </c>
      <c r="C2" s="8" t="s">
        <v>28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M2" s="8" t="s">
        <v>36</v>
      </c>
      <c r="AN2" s="8" t="s">
        <v>37</v>
      </c>
      <c r="AO2" s="6" t="s">
        <v>39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11</v>
      </c>
      <c r="BD2" s="6" t="s">
        <v>54</v>
      </c>
    </row>
    <row r="3">
      <c r="A3" s="6" t="str">
        <f t="shared" si="1"/>
        <v>1</v>
      </c>
      <c r="B3" s="7" t="s">
        <v>74</v>
      </c>
      <c r="C3" s="7" t="s">
        <v>71</v>
      </c>
      <c r="D3" s="7">
        <v>2.0</v>
      </c>
      <c r="T3" s="7" t="s">
        <v>70</v>
      </c>
      <c r="AF3" s="7" t="s">
        <v>72</v>
      </c>
      <c r="AG3" s="9" t="s">
        <v>73</v>
      </c>
      <c r="AH3" s="7" t="s">
        <v>61</v>
      </c>
      <c r="AI3" s="7" t="s">
        <v>62</v>
      </c>
      <c r="AV3" s="7">
        <v>1.0</v>
      </c>
      <c r="BB3" s="7">
        <v>1.0</v>
      </c>
    </row>
    <row r="4">
      <c r="A4" s="6" t="str">
        <f t="shared" si="1"/>
        <v>1</v>
      </c>
      <c r="B4" s="7" t="s">
        <v>74</v>
      </c>
      <c r="C4" s="7" t="s">
        <v>71</v>
      </c>
      <c r="D4" s="7">
        <v>2.0</v>
      </c>
      <c r="T4" s="7" t="s">
        <v>57</v>
      </c>
      <c r="AF4" s="7" t="s">
        <v>72</v>
      </c>
      <c r="AG4" s="9" t="s">
        <v>73</v>
      </c>
      <c r="AH4" s="7" t="s">
        <v>61</v>
      </c>
      <c r="AI4" s="7" t="s">
        <v>62</v>
      </c>
    </row>
    <row r="5">
      <c r="A5" s="6" t="str">
        <f t="shared" si="1"/>
        <v>1</v>
      </c>
      <c r="B5" s="7" t="s">
        <v>74</v>
      </c>
      <c r="C5" s="7" t="s">
        <v>90</v>
      </c>
      <c r="AF5" s="7" t="s">
        <v>91</v>
      </c>
      <c r="AG5" s="9" t="s">
        <v>92</v>
      </c>
      <c r="AH5" s="7" t="s">
        <v>61</v>
      </c>
      <c r="AI5" s="7" t="s">
        <v>62</v>
      </c>
      <c r="AP5" s="7">
        <v>1.0</v>
      </c>
    </row>
    <row r="6">
      <c r="A6" s="6" t="str">
        <f t="shared" si="1"/>
        <v>1</v>
      </c>
      <c r="B6" s="7" t="s">
        <v>74</v>
      </c>
      <c r="C6" s="7" t="s">
        <v>97</v>
      </c>
      <c r="AF6" s="7" t="s">
        <v>98</v>
      </c>
      <c r="AG6" s="9" t="s">
        <v>99</v>
      </c>
      <c r="AH6" s="7" t="s">
        <v>61</v>
      </c>
      <c r="AI6" s="7" t="s">
        <v>62</v>
      </c>
      <c r="AR6" s="7">
        <v>2.0</v>
      </c>
    </row>
    <row r="7">
      <c r="A7" s="6" t="str">
        <f t="shared" si="1"/>
        <v>1</v>
      </c>
      <c r="B7" s="7" t="s">
        <v>74</v>
      </c>
      <c r="C7" s="7" t="s">
        <v>105</v>
      </c>
      <c r="D7" s="7">
        <v>2.0</v>
      </c>
      <c r="J7" s="7">
        <v>6.0</v>
      </c>
      <c r="T7" s="7" t="s">
        <v>57</v>
      </c>
      <c r="U7" s="7">
        <v>3.0</v>
      </c>
      <c r="V7" s="7">
        <v>3.0</v>
      </c>
      <c r="AF7" s="7" t="s">
        <v>106</v>
      </c>
      <c r="AG7" s="9" t="s">
        <v>107</v>
      </c>
      <c r="AH7" s="7" t="s">
        <v>61</v>
      </c>
      <c r="AI7" s="7" t="s">
        <v>62</v>
      </c>
      <c r="AJ7" s="7" t="s">
        <v>108</v>
      </c>
      <c r="AS7" s="7">
        <v>7.0</v>
      </c>
      <c r="AU7" s="7">
        <v>1.0</v>
      </c>
      <c r="AV7" s="7">
        <v>10.0</v>
      </c>
      <c r="AW7" s="7">
        <v>5.0</v>
      </c>
      <c r="AY7" s="7">
        <v>10.0</v>
      </c>
      <c r="AZ7" s="7">
        <v>10.0</v>
      </c>
      <c r="BB7" s="7">
        <v>1.0</v>
      </c>
    </row>
    <row r="8">
      <c r="A8" s="6" t="str">
        <f t="shared" si="1"/>
        <v>1</v>
      </c>
      <c r="B8" s="7" t="s">
        <v>74</v>
      </c>
      <c r="C8" s="7" t="s">
        <v>120</v>
      </c>
      <c r="G8" s="7">
        <v>1.0</v>
      </c>
      <c r="H8" s="7" t="s">
        <v>119</v>
      </c>
      <c r="T8" s="7" t="s">
        <v>70</v>
      </c>
      <c r="AF8" s="7" t="s">
        <v>121</v>
      </c>
      <c r="AG8" s="9" t="s">
        <v>122</v>
      </c>
      <c r="AH8" s="7" t="s">
        <v>61</v>
      </c>
      <c r="AI8" s="7" t="s">
        <v>62</v>
      </c>
      <c r="AY8" s="7">
        <v>2.0</v>
      </c>
      <c r="AZ8" s="7">
        <v>2.0</v>
      </c>
    </row>
    <row r="9">
      <c r="A9" s="6" t="str">
        <f t="shared" si="1"/>
        <v>1</v>
      </c>
      <c r="B9" s="7" t="s">
        <v>74</v>
      </c>
      <c r="C9" s="7" t="s">
        <v>138</v>
      </c>
      <c r="E9" s="7">
        <v>1.0</v>
      </c>
      <c r="F9" s="7" t="s">
        <v>137</v>
      </c>
      <c r="T9" s="7" t="s">
        <v>57</v>
      </c>
      <c r="U9" s="7">
        <v>1.0</v>
      </c>
      <c r="AF9" s="7" t="s">
        <v>139</v>
      </c>
      <c r="AG9" s="9" t="s">
        <v>140</v>
      </c>
      <c r="AH9" s="7" t="s">
        <v>67</v>
      </c>
      <c r="AI9" s="7" t="s">
        <v>62</v>
      </c>
    </row>
    <row r="10">
      <c r="A10" s="6" t="str">
        <f t="shared" si="1"/>
        <v>1</v>
      </c>
      <c r="B10" s="7" t="s">
        <v>74</v>
      </c>
      <c r="C10" s="7" t="s">
        <v>146</v>
      </c>
      <c r="D10" s="7">
        <v>1.0</v>
      </c>
      <c r="E10" s="7">
        <v>1.0</v>
      </c>
      <c r="F10" s="7" t="s">
        <v>145</v>
      </c>
      <c r="T10" s="7" t="s">
        <v>57</v>
      </c>
      <c r="V10" s="7">
        <v>2.0</v>
      </c>
      <c r="AF10" s="7" t="s">
        <v>147</v>
      </c>
      <c r="AG10" s="9" t="s">
        <v>148</v>
      </c>
      <c r="AH10" s="7" t="s">
        <v>61</v>
      </c>
      <c r="AI10" s="7" t="s">
        <v>62</v>
      </c>
      <c r="AT10" s="7">
        <v>1.0</v>
      </c>
      <c r="AV10" s="7">
        <v>2.0</v>
      </c>
      <c r="BA10" s="7">
        <v>2.0</v>
      </c>
    </row>
    <row r="11">
      <c r="A11" s="6" t="str">
        <f t="shared" si="1"/>
        <v>1</v>
      </c>
      <c r="B11" s="7" t="s">
        <v>74</v>
      </c>
      <c r="C11" s="7" t="s">
        <v>184</v>
      </c>
      <c r="D11" s="7">
        <v>2.0</v>
      </c>
      <c r="T11" s="7" t="s">
        <v>57</v>
      </c>
      <c r="V11" s="7">
        <v>2.0</v>
      </c>
      <c r="AF11" s="7" t="s">
        <v>185</v>
      </c>
      <c r="AG11" s="9" t="s">
        <v>186</v>
      </c>
      <c r="AH11" s="7" t="s">
        <v>67</v>
      </c>
      <c r="AI11" s="7" t="s">
        <v>62</v>
      </c>
      <c r="AY11" s="7">
        <v>2.0</v>
      </c>
      <c r="AZ11" s="7">
        <v>2.0</v>
      </c>
    </row>
    <row r="12">
      <c r="A12" s="6" t="str">
        <f t="shared" si="1"/>
        <v>1</v>
      </c>
      <c r="B12" s="7" t="s">
        <v>74</v>
      </c>
      <c r="C12" s="7" t="s">
        <v>191</v>
      </c>
      <c r="D12" s="7">
        <v>1.0</v>
      </c>
      <c r="E12" s="7">
        <v>1.0</v>
      </c>
      <c r="F12" s="7" t="s">
        <v>145</v>
      </c>
      <c r="H12" s="7"/>
      <c r="T12" s="7" t="s">
        <v>57</v>
      </c>
      <c r="V12" s="7">
        <v>1.0</v>
      </c>
      <c r="AF12" s="7" t="s">
        <v>192</v>
      </c>
      <c r="AG12" s="9" t="s">
        <v>193</v>
      </c>
      <c r="AH12" s="7" t="s">
        <v>61</v>
      </c>
      <c r="AI12" s="7" t="s">
        <v>62</v>
      </c>
      <c r="AY12" s="7">
        <v>1.0</v>
      </c>
    </row>
    <row r="13">
      <c r="A13" s="6" t="str">
        <f t="shared" si="1"/>
        <v>1</v>
      </c>
      <c r="B13" s="7" t="s">
        <v>74</v>
      </c>
      <c r="C13" s="7" t="s">
        <v>90</v>
      </c>
      <c r="W13" s="7">
        <v>2.0</v>
      </c>
      <c r="AA13" s="7">
        <v>1.0</v>
      </c>
      <c r="AF13" s="7" t="s">
        <v>91</v>
      </c>
      <c r="AG13" s="9" t="s">
        <v>92</v>
      </c>
      <c r="AH13" s="7" t="s">
        <v>61</v>
      </c>
      <c r="AI13" s="7" t="s">
        <v>62</v>
      </c>
    </row>
    <row r="14">
      <c r="A14" s="6" t="str">
        <f t="shared" si="1"/>
        <v>1</v>
      </c>
      <c r="B14" s="7" t="s">
        <v>74</v>
      </c>
      <c r="C14" s="7" t="s">
        <v>240</v>
      </c>
      <c r="AF14" s="7" t="s">
        <v>241</v>
      </c>
      <c r="AG14" s="9" t="s">
        <v>242</v>
      </c>
      <c r="AH14" s="7" t="s">
        <v>103</v>
      </c>
      <c r="AI14" s="7" t="s">
        <v>62</v>
      </c>
      <c r="AQ14" s="7">
        <v>1.0</v>
      </c>
      <c r="AR14" s="7">
        <v>1.0</v>
      </c>
    </row>
    <row r="15">
      <c r="A15" s="6" t="str">
        <f t="shared" si="1"/>
        <v>1</v>
      </c>
      <c r="B15" s="7" t="s">
        <v>74</v>
      </c>
      <c r="C15" s="7" t="s">
        <v>255</v>
      </c>
      <c r="E15" s="7">
        <v>1.0</v>
      </c>
      <c r="F15" s="7" t="s">
        <v>254</v>
      </c>
      <c r="T15" s="7" t="s">
        <v>57</v>
      </c>
      <c r="V15" s="7">
        <v>1.0</v>
      </c>
      <c r="AF15" s="7" t="s">
        <v>256</v>
      </c>
      <c r="AG15" s="9" t="s">
        <v>257</v>
      </c>
      <c r="AH15" s="7" t="s">
        <v>103</v>
      </c>
      <c r="AI15" s="7" t="s">
        <v>62</v>
      </c>
      <c r="AJ15" s="7" t="s">
        <v>258</v>
      </c>
    </row>
    <row r="16">
      <c r="A16" s="6" t="str">
        <f t="shared" si="1"/>
        <v>1</v>
      </c>
      <c r="B16" s="7" t="s">
        <v>74</v>
      </c>
      <c r="C16" s="7" t="s">
        <v>268</v>
      </c>
      <c r="E16" s="7">
        <v>1.0</v>
      </c>
      <c r="F16" s="7" t="s">
        <v>267</v>
      </c>
      <c r="T16" s="7" t="s">
        <v>57</v>
      </c>
      <c r="V16" s="7">
        <v>1.0</v>
      </c>
      <c r="AF16" s="7" t="s">
        <v>269</v>
      </c>
      <c r="AG16" s="9" t="s">
        <v>270</v>
      </c>
      <c r="AH16" s="7" t="s">
        <v>103</v>
      </c>
      <c r="AI16" s="7" t="s">
        <v>68</v>
      </c>
      <c r="AK16" s="7">
        <v>13247.0</v>
      </c>
      <c r="AY16" s="7">
        <v>3.0</v>
      </c>
      <c r="AZ16" s="7">
        <v>2.0</v>
      </c>
    </row>
    <row r="17">
      <c r="A17" s="6" t="str">
        <f t="shared" si="1"/>
        <v>1</v>
      </c>
      <c r="B17" s="7" t="s">
        <v>74</v>
      </c>
      <c r="C17" s="7" t="s">
        <v>271</v>
      </c>
      <c r="E17" s="7">
        <v>1.0</v>
      </c>
      <c r="F17" s="7" t="s">
        <v>119</v>
      </c>
      <c r="T17" s="7" t="s">
        <v>70</v>
      </c>
      <c r="AF17" s="7" t="s">
        <v>272</v>
      </c>
      <c r="AG17" s="9" t="s">
        <v>273</v>
      </c>
      <c r="AH17" s="7" t="s">
        <v>61</v>
      </c>
      <c r="AI17" s="7" t="s">
        <v>62</v>
      </c>
    </row>
    <row r="18">
      <c r="A18" s="6" t="str">
        <f t="shared" si="1"/>
        <v>1</v>
      </c>
      <c r="B18" s="7" t="s">
        <v>74</v>
      </c>
      <c r="C18" s="7" t="s">
        <v>274</v>
      </c>
      <c r="E18" s="7">
        <v>1.0</v>
      </c>
      <c r="F18" s="7" t="s">
        <v>119</v>
      </c>
      <c r="T18" s="7" t="s">
        <v>57</v>
      </c>
      <c r="V18" s="7">
        <v>1.0</v>
      </c>
      <c r="AF18" s="7" t="s">
        <v>275</v>
      </c>
      <c r="AG18" s="9" t="s">
        <v>276</v>
      </c>
      <c r="AH18" s="7" t="s">
        <v>61</v>
      </c>
      <c r="AI18" s="7" t="s">
        <v>62</v>
      </c>
      <c r="AZ18" s="7">
        <v>2.0</v>
      </c>
    </row>
    <row r="19">
      <c r="A19" s="6" t="str">
        <f t="shared" si="1"/>
        <v>1</v>
      </c>
      <c r="B19" s="7" t="s">
        <v>74</v>
      </c>
      <c r="C19" s="7" t="s">
        <v>278</v>
      </c>
      <c r="E19" s="7">
        <v>1.0</v>
      </c>
      <c r="F19" s="7" t="s">
        <v>277</v>
      </c>
      <c r="T19" s="7" t="s">
        <v>70</v>
      </c>
      <c r="AF19" s="7" t="s">
        <v>279</v>
      </c>
      <c r="AG19" s="9" t="s">
        <v>280</v>
      </c>
      <c r="AH19" s="7" t="s">
        <v>103</v>
      </c>
      <c r="AI19" s="7" t="s">
        <v>62</v>
      </c>
      <c r="AZ19" s="7">
        <v>1.0</v>
      </c>
    </row>
    <row r="20">
      <c r="A20" s="6" t="str">
        <f t="shared" si="1"/>
        <v>1</v>
      </c>
      <c r="B20" s="7" t="s">
        <v>74</v>
      </c>
      <c r="C20" s="7" t="s">
        <v>271</v>
      </c>
      <c r="AA20" s="7">
        <v>3.0</v>
      </c>
      <c r="AF20" s="7" t="s">
        <v>272</v>
      </c>
      <c r="AG20" s="9" t="s">
        <v>273</v>
      </c>
      <c r="AH20" s="7" t="s">
        <v>61</v>
      </c>
      <c r="AI20" s="7" t="s">
        <v>62</v>
      </c>
      <c r="AQ20" s="7">
        <v>1.0</v>
      </c>
      <c r="AR20" s="7">
        <v>1.0</v>
      </c>
    </row>
    <row r="21">
      <c r="A21" s="6" t="str">
        <f t="shared" si="1"/>
        <v>1</v>
      </c>
      <c r="B21" s="7" t="s">
        <v>74</v>
      </c>
      <c r="C21" s="7" t="s">
        <v>285</v>
      </c>
      <c r="D21" s="7">
        <v>1.0</v>
      </c>
      <c r="T21" s="7" t="s">
        <v>57</v>
      </c>
      <c r="U21" s="7">
        <v>1.0</v>
      </c>
      <c r="V21" s="7">
        <v>1.0</v>
      </c>
      <c r="AF21" s="7" t="s">
        <v>286</v>
      </c>
      <c r="AG21" s="9" t="s">
        <v>287</v>
      </c>
      <c r="AH21" s="7" t="s">
        <v>61</v>
      </c>
      <c r="AI21" s="7" t="s">
        <v>62</v>
      </c>
    </row>
    <row r="22">
      <c r="A22" s="6" t="str">
        <f t="shared" si="1"/>
        <v>1</v>
      </c>
      <c r="B22" s="7" t="s">
        <v>74</v>
      </c>
      <c r="C22" s="7" t="s">
        <v>289</v>
      </c>
      <c r="E22" s="7">
        <v>1.0</v>
      </c>
      <c r="F22" s="7" t="s">
        <v>288</v>
      </c>
      <c r="T22" s="7" t="s">
        <v>57</v>
      </c>
      <c r="U22" s="7">
        <v>1.0</v>
      </c>
      <c r="V22" s="7">
        <v>1.0</v>
      </c>
      <c r="AF22" s="7" t="s">
        <v>290</v>
      </c>
      <c r="AG22" s="9" t="s">
        <v>291</v>
      </c>
      <c r="AH22" s="7" t="s">
        <v>61</v>
      </c>
      <c r="AI22" s="7" t="s">
        <v>62</v>
      </c>
      <c r="AJ22" s="7" t="s">
        <v>292</v>
      </c>
      <c r="AV22" s="7">
        <v>1.0</v>
      </c>
    </row>
    <row r="23">
      <c r="A23" s="6" t="str">
        <f t="shared" si="1"/>
        <v>1</v>
      </c>
      <c r="B23" s="7" t="s">
        <v>74</v>
      </c>
      <c r="C23" s="7" t="s">
        <v>294</v>
      </c>
      <c r="AF23" s="7" t="s">
        <v>295</v>
      </c>
      <c r="AG23" s="9" t="s">
        <v>296</v>
      </c>
      <c r="AH23" s="7" t="s">
        <v>103</v>
      </c>
      <c r="AI23" s="7" t="s">
        <v>62</v>
      </c>
      <c r="AQ23" s="7">
        <v>1.0</v>
      </c>
    </row>
    <row r="24">
      <c r="A24" s="6" t="str">
        <f t="shared" si="1"/>
        <v>1</v>
      </c>
      <c r="B24" s="7" t="s">
        <v>74</v>
      </c>
      <c r="C24" s="7" t="s">
        <v>297</v>
      </c>
      <c r="AA24" s="7">
        <v>1.0</v>
      </c>
      <c r="AF24" s="7" t="s">
        <v>298</v>
      </c>
      <c r="AG24" s="9" t="s">
        <v>299</v>
      </c>
      <c r="AH24" s="7" t="s">
        <v>103</v>
      </c>
      <c r="AI24" s="7" t="s">
        <v>68</v>
      </c>
      <c r="AK24" s="7">
        <v>20779.0</v>
      </c>
      <c r="AQ24" s="7">
        <v>1.0</v>
      </c>
      <c r="AR24" s="7">
        <v>1.0</v>
      </c>
    </row>
    <row r="25">
      <c r="A25" s="6" t="str">
        <f t="shared" si="1"/>
        <v>1</v>
      </c>
      <c r="B25" s="7" t="s">
        <v>74</v>
      </c>
      <c r="C25" s="7" t="s">
        <v>300</v>
      </c>
      <c r="X25" s="7">
        <v>1.0</v>
      </c>
      <c r="AF25" s="7" t="s">
        <v>301</v>
      </c>
      <c r="AG25" s="9" t="s">
        <v>302</v>
      </c>
      <c r="AH25" s="7" t="s">
        <v>67</v>
      </c>
      <c r="AI25" s="7" t="s">
        <v>62</v>
      </c>
      <c r="AP25" s="7">
        <v>3.0</v>
      </c>
    </row>
    <row r="26">
      <c r="A26" s="6" t="str">
        <f t="shared" si="1"/>
        <v>1</v>
      </c>
      <c r="B26" s="7" t="s">
        <v>74</v>
      </c>
      <c r="C26" s="7" t="s">
        <v>317</v>
      </c>
      <c r="Y26" s="7">
        <v>2.0</v>
      </c>
      <c r="AF26" s="7" t="s">
        <v>318</v>
      </c>
      <c r="AG26" s="9" t="s">
        <v>319</v>
      </c>
      <c r="AH26" s="7" t="s">
        <v>61</v>
      </c>
      <c r="AI26" s="7" t="s">
        <v>62</v>
      </c>
      <c r="AQ26" s="7">
        <v>3.0</v>
      </c>
      <c r="AR26" s="7">
        <v>3.0</v>
      </c>
    </row>
    <row r="27">
      <c r="A27" s="6" t="str">
        <f t="shared" si="1"/>
        <v>1</v>
      </c>
      <c r="B27" s="7" t="s">
        <v>74</v>
      </c>
      <c r="C27" s="7" t="s">
        <v>362</v>
      </c>
      <c r="D27" s="7">
        <v>2.0</v>
      </c>
      <c r="E27" s="7">
        <v>1.0</v>
      </c>
      <c r="F27" s="7" t="s">
        <v>361</v>
      </c>
      <c r="G27" s="7">
        <v>1.0</v>
      </c>
      <c r="H27" s="7" t="s">
        <v>361</v>
      </c>
      <c r="T27" s="7" t="s">
        <v>70</v>
      </c>
      <c r="AF27" s="7" t="s">
        <v>359</v>
      </c>
      <c r="AG27" s="9" t="s">
        <v>360</v>
      </c>
      <c r="AH27" s="7" t="s">
        <v>61</v>
      </c>
      <c r="AI27" s="7" t="s">
        <v>62</v>
      </c>
      <c r="AJ27" s="7" t="s">
        <v>363</v>
      </c>
    </row>
    <row r="28">
      <c r="A28" s="6" t="str">
        <f t="shared" si="1"/>
        <v>1</v>
      </c>
      <c r="B28" s="7" t="s">
        <v>74</v>
      </c>
      <c r="C28" s="7" t="s">
        <v>371</v>
      </c>
      <c r="E28" s="7">
        <v>4.0</v>
      </c>
      <c r="F28" s="7" t="s">
        <v>370</v>
      </c>
      <c r="J28" s="7">
        <v>4.0</v>
      </c>
      <c r="T28" s="7" t="s">
        <v>70</v>
      </c>
      <c r="AF28" s="7" t="s">
        <v>359</v>
      </c>
      <c r="AG28" s="9" t="s">
        <v>360</v>
      </c>
      <c r="AH28" s="7" t="s">
        <v>61</v>
      </c>
      <c r="AI28" s="7" t="s">
        <v>62</v>
      </c>
      <c r="AV28" s="7">
        <v>12.0</v>
      </c>
      <c r="AY28" s="7">
        <v>14.0</v>
      </c>
      <c r="AZ28" s="7">
        <v>8.0</v>
      </c>
      <c r="BA28" s="7">
        <v>13.0</v>
      </c>
    </row>
    <row r="29">
      <c r="A29" s="6" t="str">
        <f t="shared" si="1"/>
        <v>2</v>
      </c>
      <c r="B29" s="7" t="s">
        <v>63</v>
      </c>
      <c r="C29" s="7" t="s">
        <v>58</v>
      </c>
      <c r="E29" s="7">
        <v>1.0</v>
      </c>
      <c r="F29" s="7" t="s">
        <v>56</v>
      </c>
      <c r="M29" s="7">
        <v>1.0</v>
      </c>
      <c r="T29" s="7" t="s">
        <v>57</v>
      </c>
      <c r="AF29" s="7" t="s">
        <v>59</v>
      </c>
      <c r="AG29" s="9" t="s">
        <v>60</v>
      </c>
      <c r="AH29" s="7" t="s">
        <v>61</v>
      </c>
      <c r="AI29" s="7" t="s">
        <v>62</v>
      </c>
      <c r="AT29" s="7">
        <v>1.0</v>
      </c>
    </row>
    <row r="30">
      <c r="A30" s="6" t="str">
        <f t="shared" si="1"/>
        <v>2</v>
      </c>
      <c r="B30" s="7" t="s">
        <v>63</v>
      </c>
      <c r="C30" s="7" t="s">
        <v>76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F30" s="7" t="s">
        <v>77</v>
      </c>
      <c r="AG30" s="9" t="s">
        <v>78</v>
      </c>
      <c r="AH30" s="7" t="s">
        <v>67</v>
      </c>
      <c r="AI30" s="7" t="s">
        <v>62</v>
      </c>
      <c r="AP30" s="7">
        <v>0.0</v>
      </c>
      <c r="AQ30" s="7">
        <v>1.0</v>
      </c>
      <c r="AR30" s="7">
        <v>1.0</v>
      </c>
    </row>
    <row r="31">
      <c r="A31" s="6" t="str">
        <f t="shared" si="1"/>
        <v>2</v>
      </c>
      <c r="B31" s="7" t="s">
        <v>63</v>
      </c>
      <c r="C31" s="7" t="s">
        <v>109</v>
      </c>
      <c r="I31" s="7">
        <v>1.0</v>
      </c>
      <c r="T31" s="7" t="s">
        <v>57</v>
      </c>
      <c r="U31" s="7">
        <v>1.0</v>
      </c>
      <c r="AF31" s="7" t="s">
        <v>110</v>
      </c>
      <c r="AG31" s="9" t="s">
        <v>111</v>
      </c>
      <c r="AH31" s="7" t="s">
        <v>67</v>
      </c>
      <c r="AI31" s="7" t="s">
        <v>62</v>
      </c>
    </row>
    <row r="32">
      <c r="A32" s="6" t="str">
        <f t="shared" si="1"/>
        <v>2</v>
      </c>
      <c r="B32" s="7" t="s">
        <v>63</v>
      </c>
      <c r="C32" s="7" t="s">
        <v>116</v>
      </c>
      <c r="AF32" s="7" t="s">
        <v>117</v>
      </c>
      <c r="AG32" s="9" t="s">
        <v>118</v>
      </c>
      <c r="AH32" s="7" t="s">
        <v>67</v>
      </c>
      <c r="AI32" s="7" t="s">
        <v>62</v>
      </c>
      <c r="AR32" s="7">
        <v>1.0</v>
      </c>
    </row>
    <row r="33">
      <c r="A33" s="6" t="str">
        <f t="shared" si="1"/>
        <v>2</v>
      </c>
      <c r="B33" s="7" t="s">
        <v>63</v>
      </c>
      <c r="C33" s="7" t="s">
        <v>149</v>
      </c>
      <c r="AA33" s="7">
        <v>3.0</v>
      </c>
      <c r="AF33" s="7" t="s">
        <v>150</v>
      </c>
      <c r="AG33" s="9" t="s">
        <v>151</v>
      </c>
      <c r="AH33" s="7" t="s">
        <v>67</v>
      </c>
      <c r="AI33" s="7" t="s">
        <v>62</v>
      </c>
      <c r="AP33" s="7">
        <v>1.0</v>
      </c>
      <c r="AQ33" s="7">
        <v>1.0</v>
      </c>
      <c r="AR33" s="7">
        <v>1.0</v>
      </c>
    </row>
    <row r="34">
      <c r="A34" s="6" t="str">
        <f t="shared" si="1"/>
        <v>2</v>
      </c>
      <c r="B34" s="7" t="s">
        <v>63</v>
      </c>
      <c r="C34" s="7" t="s">
        <v>116</v>
      </c>
      <c r="D34" s="7">
        <v>1.0</v>
      </c>
      <c r="T34" s="7" t="s">
        <v>57</v>
      </c>
      <c r="U34" s="7">
        <v>1.0</v>
      </c>
      <c r="V34" s="7">
        <v>1.0</v>
      </c>
      <c r="AF34" s="7" t="s">
        <v>117</v>
      </c>
      <c r="AG34" s="9" t="s">
        <v>118</v>
      </c>
      <c r="AH34" s="7" t="s">
        <v>67</v>
      </c>
      <c r="AI34" s="7" t="s">
        <v>62</v>
      </c>
    </row>
    <row r="35">
      <c r="A35" s="6" t="str">
        <f t="shared" si="1"/>
        <v>2</v>
      </c>
      <c r="B35" s="7" t="s">
        <v>63</v>
      </c>
      <c r="C35" s="7" t="s">
        <v>152</v>
      </c>
      <c r="AF35" s="7" t="s">
        <v>153</v>
      </c>
      <c r="AG35" s="9" t="s">
        <v>154</v>
      </c>
      <c r="AH35" s="7" t="s">
        <v>61</v>
      </c>
      <c r="AI35" s="7" t="s">
        <v>62</v>
      </c>
      <c r="AQ35" s="7">
        <v>1.0</v>
      </c>
    </row>
    <row r="36">
      <c r="A36" s="6" t="str">
        <f t="shared" si="1"/>
        <v>2</v>
      </c>
      <c r="B36" s="7" t="s">
        <v>63</v>
      </c>
      <c r="C36" s="7" t="s">
        <v>155</v>
      </c>
      <c r="I36" s="7">
        <v>1.0</v>
      </c>
      <c r="T36" s="7" t="s">
        <v>57</v>
      </c>
      <c r="V36" s="7">
        <v>1.0</v>
      </c>
      <c r="AF36" s="7" t="s">
        <v>156</v>
      </c>
      <c r="AG36" s="9" t="s">
        <v>157</v>
      </c>
      <c r="AH36" s="7" t="s">
        <v>67</v>
      </c>
      <c r="AI36" s="7" t="s">
        <v>62</v>
      </c>
      <c r="AJ36" s="7" t="s">
        <v>158</v>
      </c>
      <c r="AX36" s="7">
        <v>2.0</v>
      </c>
      <c r="BA36" s="7">
        <v>2.0</v>
      </c>
    </row>
    <row r="37">
      <c r="A37" s="6" t="str">
        <f t="shared" si="1"/>
        <v>2</v>
      </c>
      <c r="B37" s="7" t="s">
        <v>63</v>
      </c>
      <c r="C37" s="7" t="s">
        <v>164</v>
      </c>
      <c r="AF37" s="7" t="s">
        <v>165</v>
      </c>
      <c r="AG37" s="9" t="s">
        <v>166</v>
      </c>
      <c r="AH37" s="7" t="s">
        <v>67</v>
      </c>
      <c r="AI37" s="7" t="s">
        <v>62</v>
      </c>
      <c r="AQ37" s="7">
        <v>1.0</v>
      </c>
    </row>
    <row r="38">
      <c r="A38" s="6" t="str">
        <f t="shared" si="1"/>
        <v>2</v>
      </c>
      <c r="B38" s="7" t="s">
        <v>63</v>
      </c>
      <c r="C38" s="7" t="s">
        <v>181</v>
      </c>
      <c r="Y38" s="7">
        <v>1.0</v>
      </c>
      <c r="Z38" s="7">
        <v>1.0</v>
      </c>
      <c r="AF38" s="7" t="s">
        <v>182</v>
      </c>
      <c r="AG38" s="9" t="s">
        <v>183</v>
      </c>
      <c r="AH38" s="7" t="s">
        <v>67</v>
      </c>
      <c r="AI38" s="7" t="s">
        <v>62</v>
      </c>
    </row>
    <row r="39">
      <c r="A39" s="6" t="str">
        <f t="shared" si="1"/>
        <v>2</v>
      </c>
      <c r="B39" s="7" t="s">
        <v>63</v>
      </c>
      <c r="C39" s="7" t="s">
        <v>236</v>
      </c>
      <c r="Y39" s="7">
        <v>1.0</v>
      </c>
      <c r="AF39" s="7" t="s">
        <v>237</v>
      </c>
      <c r="AG39" s="9" t="s">
        <v>238</v>
      </c>
      <c r="AH39" s="7" t="s">
        <v>103</v>
      </c>
      <c r="AI39" s="7" t="s">
        <v>68</v>
      </c>
      <c r="AK39" s="7" t="s">
        <v>239</v>
      </c>
      <c r="AQ39" s="7">
        <v>1.0</v>
      </c>
      <c r="AR39" s="7">
        <v>1.0</v>
      </c>
    </row>
    <row r="40">
      <c r="A40" s="6" t="str">
        <f t="shared" si="1"/>
        <v>2</v>
      </c>
      <c r="B40" s="7" t="s">
        <v>63</v>
      </c>
      <c r="C40" s="7" t="s">
        <v>243</v>
      </c>
      <c r="G40" s="7">
        <v>1.0</v>
      </c>
      <c r="H40" s="7" t="s">
        <v>56</v>
      </c>
      <c r="T40" s="7" t="s">
        <v>70</v>
      </c>
      <c r="AF40" s="7" t="s">
        <v>244</v>
      </c>
      <c r="AG40" s="9" t="s">
        <v>245</v>
      </c>
      <c r="AH40" s="7" t="s">
        <v>61</v>
      </c>
      <c r="AI40" s="7" t="s">
        <v>62</v>
      </c>
    </row>
    <row r="41">
      <c r="A41" s="6" t="str">
        <f t="shared" si="1"/>
        <v>2</v>
      </c>
      <c r="B41" s="7" t="s">
        <v>63</v>
      </c>
      <c r="C41" s="7" t="s">
        <v>263</v>
      </c>
      <c r="D41" s="7">
        <v>1.0</v>
      </c>
      <c r="T41" s="7" t="s">
        <v>57</v>
      </c>
      <c r="U41" s="7">
        <v>1.0</v>
      </c>
      <c r="V41" s="7">
        <v>1.0</v>
      </c>
      <c r="AF41" s="7" t="s">
        <v>260</v>
      </c>
      <c r="AG41" s="9" t="s">
        <v>261</v>
      </c>
      <c r="AH41" s="7" t="s">
        <v>61</v>
      </c>
      <c r="AI41" s="7" t="s">
        <v>68</v>
      </c>
      <c r="AK41" s="7">
        <v>31637.0</v>
      </c>
      <c r="AY41" s="7">
        <v>7.0</v>
      </c>
      <c r="AZ41" s="7">
        <v>7.0</v>
      </c>
    </row>
    <row r="42">
      <c r="A42" s="6" t="str">
        <f t="shared" si="1"/>
        <v>2</v>
      </c>
      <c r="B42" s="7" t="s">
        <v>63</v>
      </c>
      <c r="C42" s="7" t="s">
        <v>320</v>
      </c>
      <c r="AF42" s="7" t="s">
        <v>321</v>
      </c>
      <c r="AG42" s="9" t="s">
        <v>322</v>
      </c>
      <c r="AH42" s="7" t="s">
        <v>67</v>
      </c>
      <c r="AI42" s="7" t="s">
        <v>62</v>
      </c>
      <c r="AR42" s="7">
        <v>1.0</v>
      </c>
    </row>
    <row r="43">
      <c r="A43" s="6" t="str">
        <f t="shared" si="1"/>
        <v>2</v>
      </c>
      <c r="B43" s="7" t="s">
        <v>63</v>
      </c>
      <c r="C43" s="7" t="s">
        <v>334</v>
      </c>
      <c r="E43" s="7">
        <v>2.0</v>
      </c>
      <c r="F43" s="7" t="s">
        <v>333</v>
      </c>
      <c r="T43" s="7" t="s">
        <v>57</v>
      </c>
      <c r="U43" s="7">
        <v>1.0</v>
      </c>
      <c r="V43" s="7">
        <v>1.0</v>
      </c>
      <c r="AF43" s="7" t="s">
        <v>335</v>
      </c>
      <c r="AG43" s="9" t="s">
        <v>336</v>
      </c>
      <c r="AH43" s="7" t="s">
        <v>67</v>
      </c>
      <c r="AI43" s="7" t="s">
        <v>68</v>
      </c>
      <c r="AJ43" s="7" t="s">
        <v>337</v>
      </c>
      <c r="AK43" s="7">
        <v>34240.0</v>
      </c>
      <c r="AS43" s="7">
        <v>1.0</v>
      </c>
      <c r="AU43" s="7">
        <v>1.0</v>
      </c>
      <c r="AV43" s="7">
        <v>1.0</v>
      </c>
    </row>
    <row r="44">
      <c r="A44" s="6" t="str">
        <f t="shared" si="1"/>
        <v>2</v>
      </c>
      <c r="B44" s="7" t="s">
        <v>63</v>
      </c>
      <c r="C44" s="7" t="s">
        <v>347</v>
      </c>
      <c r="AA44" s="7">
        <v>1.0</v>
      </c>
      <c r="AF44" s="7" t="s">
        <v>348</v>
      </c>
      <c r="AG44" s="9" t="s">
        <v>349</v>
      </c>
      <c r="AH44" s="7" t="s">
        <v>61</v>
      </c>
      <c r="AI44" s="7" t="s">
        <v>62</v>
      </c>
    </row>
    <row r="45">
      <c r="A45" s="6" t="str">
        <f t="shared" si="1"/>
        <v>2</v>
      </c>
      <c r="B45" s="7" t="s">
        <v>63</v>
      </c>
      <c r="C45" s="7" t="s">
        <v>351</v>
      </c>
      <c r="D45" s="7">
        <v>5.0</v>
      </c>
      <c r="E45" s="7">
        <v>2.0</v>
      </c>
      <c r="F45" s="7" t="s">
        <v>350</v>
      </c>
      <c r="I45" s="7">
        <v>1.0</v>
      </c>
      <c r="J45" s="7">
        <v>1.0</v>
      </c>
      <c r="T45" s="7" t="s">
        <v>70</v>
      </c>
      <c r="AF45" s="7" t="s">
        <v>352</v>
      </c>
      <c r="AG45" s="9" t="s">
        <v>353</v>
      </c>
      <c r="AH45" s="7" t="s">
        <v>67</v>
      </c>
      <c r="AI45" s="7" t="s">
        <v>62</v>
      </c>
      <c r="AT45" s="7">
        <v>6.0</v>
      </c>
      <c r="AU45" s="7">
        <v>1.0</v>
      </c>
      <c r="AV45" s="7">
        <v>5.0</v>
      </c>
      <c r="AY45" s="7">
        <v>2.0</v>
      </c>
      <c r="AZ45" s="7">
        <v>2.0</v>
      </c>
    </row>
    <row r="46">
      <c r="A46" s="6" t="str">
        <f t="shared" si="1"/>
        <v>2</v>
      </c>
      <c r="B46" s="7" t="s">
        <v>63</v>
      </c>
      <c r="C46" s="7" t="s">
        <v>381</v>
      </c>
      <c r="E46" s="7">
        <v>1.0</v>
      </c>
      <c r="F46" s="7" t="s">
        <v>56</v>
      </c>
      <c r="J46" s="7">
        <v>1.0</v>
      </c>
      <c r="T46" s="7" t="s">
        <v>70</v>
      </c>
      <c r="AF46" s="7" t="s">
        <v>382</v>
      </c>
      <c r="AG46" s="9" t="s">
        <v>383</v>
      </c>
      <c r="AH46" s="7" t="s">
        <v>61</v>
      </c>
      <c r="AI46" s="7" t="s">
        <v>62</v>
      </c>
    </row>
    <row r="47">
      <c r="A47" s="6" t="str">
        <f t="shared" si="1"/>
        <v>3</v>
      </c>
      <c r="B47" s="7" t="s">
        <v>171</v>
      </c>
      <c r="C47" s="7" t="s">
        <v>167</v>
      </c>
      <c r="Y47" s="7">
        <v>1.0</v>
      </c>
      <c r="Z47" s="7">
        <v>1.0</v>
      </c>
      <c r="AF47" s="7" t="s">
        <v>168</v>
      </c>
      <c r="AG47" s="9" t="s">
        <v>169</v>
      </c>
      <c r="AH47" s="7" t="s">
        <v>67</v>
      </c>
      <c r="AI47" s="7" t="s">
        <v>62</v>
      </c>
      <c r="AJ47" s="7" t="s">
        <v>170</v>
      </c>
    </row>
    <row r="48">
      <c r="A48" s="6" t="str">
        <f t="shared" si="1"/>
        <v>3</v>
      </c>
      <c r="B48" s="7" t="s">
        <v>171</v>
      </c>
      <c r="C48" s="7" t="s">
        <v>172</v>
      </c>
      <c r="D48" s="7">
        <v>1.0</v>
      </c>
      <c r="J48" s="7">
        <v>1.0</v>
      </c>
      <c r="T48" s="7" t="s">
        <v>57</v>
      </c>
      <c r="U48" s="7">
        <v>1.0</v>
      </c>
      <c r="V48" s="7">
        <v>1.0</v>
      </c>
      <c r="AF48" s="7" t="s">
        <v>173</v>
      </c>
      <c r="AG48" s="9" t="s">
        <v>174</v>
      </c>
      <c r="AH48" s="7" t="s">
        <v>67</v>
      </c>
      <c r="AI48" s="7" t="s">
        <v>68</v>
      </c>
      <c r="AJ48" s="7" t="s">
        <v>175</v>
      </c>
      <c r="AK48" s="7">
        <v>75119.0</v>
      </c>
      <c r="AU48" s="7">
        <v>1.0</v>
      </c>
      <c r="AV48" s="7">
        <v>1.0</v>
      </c>
    </row>
    <row r="49">
      <c r="A49" s="6" t="str">
        <f t="shared" si="1"/>
        <v>3</v>
      </c>
      <c r="B49" s="7" t="s">
        <v>171</v>
      </c>
      <c r="C49" s="7" t="s">
        <v>205</v>
      </c>
      <c r="D49" s="7">
        <v>4.0</v>
      </c>
      <c r="T49" s="7" t="s">
        <v>57</v>
      </c>
      <c r="U49" s="7">
        <v>2.0</v>
      </c>
      <c r="V49" s="7">
        <v>2.0</v>
      </c>
      <c r="AF49" s="7" t="s">
        <v>206</v>
      </c>
      <c r="AG49" s="9" t="s">
        <v>207</v>
      </c>
      <c r="AH49" s="7" t="s">
        <v>67</v>
      </c>
      <c r="AI49" s="7" t="s">
        <v>62</v>
      </c>
    </row>
    <row r="50">
      <c r="A50" s="6" t="str">
        <f t="shared" si="1"/>
        <v>3</v>
      </c>
      <c r="B50" s="7" t="s">
        <v>171</v>
      </c>
      <c r="C50" s="7" t="s">
        <v>214</v>
      </c>
      <c r="E50" s="7">
        <v>2.0</v>
      </c>
      <c r="F50" s="7" t="s">
        <v>212</v>
      </c>
      <c r="G50" s="7">
        <v>1.0</v>
      </c>
      <c r="H50" s="7" t="s">
        <v>213</v>
      </c>
      <c r="T50" s="7" t="s">
        <v>57</v>
      </c>
      <c r="U50" s="7">
        <v>1.0</v>
      </c>
      <c r="V50" s="7">
        <v>1.0</v>
      </c>
      <c r="AF50" s="7" t="s">
        <v>215</v>
      </c>
      <c r="AG50" s="9" t="s">
        <v>216</v>
      </c>
      <c r="AH50" s="7" t="s">
        <v>67</v>
      </c>
      <c r="AI50" s="7" t="s">
        <v>62</v>
      </c>
    </row>
    <row r="51">
      <c r="A51" s="6" t="str">
        <f t="shared" si="1"/>
        <v>3</v>
      </c>
      <c r="B51" s="7" t="s">
        <v>171</v>
      </c>
      <c r="C51" s="7" t="s">
        <v>227</v>
      </c>
      <c r="D51" s="7">
        <v>1.0</v>
      </c>
      <c r="T51" s="7" t="s">
        <v>70</v>
      </c>
      <c r="AF51" s="7" t="s">
        <v>228</v>
      </c>
      <c r="AG51" s="9" t="s">
        <v>229</v>
      </c>
      <c r="AH51" s="7" t="s">
        <v>67</v>
      </c>
      <c r="AI51" s="7" t="s">
        <v>62</v>
      </c>
      <c r="AV51" s="7">
        <v>1.0</v>
      </c>
    </row>
    <row r="52">
      <c r="A52" s="6" t="str">
        <f t="shared" si="1"/>
        <v>3</v>
      </c>
      <c r="B52" s="7" t="s">
        <v>171</v>
      </c>
      <c r="C52" s="7" t="s">
        <v>246</v>
      </c>
      <c r="D52" s="7">
        <v>2.0</v>
      </c>
      <c r="J52" s="7">
        <v>3.0</v>
      </c>
      <c r="T52" s="7" t="s">
        <v>70</v>
      </c>
      <c r="AF52" s="7" t="s">
        <v>247</v>
      </c>
      <c r="AG52" s="9" t="s">
        <v>248</v>
      </c>
      <c r="AH52" s="7" t="s">
        <v>67</v>
      </c>
      <c r="AI52" s="7" t="s">
        <v>62</v>
      </c>
      <c r="AS52" s="7">
        <v>2.0</v>
      </c>
      <c r="AU52" s="7">
        <v>1.0</v>
      </c>
      <c r="AV52" s="7">
        <v>2.0</v>
      </c>
    </row>
    <row r="53">
      <c r="A53" s="6" t="str">
        <f t="shared" si="1"/>
        <v>3</v>
      </c>
      <c r="B53" s="7" t="s">
        <v>171</v>
      </c>
      <c r="C53" s="7" t="s">
        <v>281</v>
      </c>
      <c r="AA53" s="7">
        <v>2.0</v>
      </c>
      <c r="AF53" s="7" t="s">
        <v>282</v>
      </c>
      <c r="AG53" s="9" t="s">
        <v>283</v>
      </c>
      <c r="AH53" s="7" t="s">
        <v>67</v>
      </c>
      <c r="AI53" s="7" t="s">
        <v>62</v>
      </c>
      <c r="AJ53" s="7" t="s">
        <v>284</v>
      </c>
    </row>
    <row r="54">
      <c r="A54" s="6" t="str">
        <f t="shared" si="1"/>
        <v>3</v>
      </c>
      <c r="B54" s="7" t="s">
        <v>171</v>
      </c>
      <c r="C54" s="7" t="s">
        <v>324</v>
      </c>
      <c r="E54" s="7">
        <v>2.0</v>
      </c>
      <c r="F54" s="7" t="s">
        <v>323</v>
      </c>
      <c r="T54" s="7" t="s">
        <v>70</v>
      </c>
      <c r="AF54" s="7" t="s">
        <v>325</v>
      </c>
      <c r="AG54" s="9" t="s">
        <v>326</v>
      </c>
      <c r="AH54" s="7" t="s">
        <v>67</v>
      </c>
      <c r="AI54" s="7" t="s">
        <v>68</v>
      </c>
      <c r="AJ54" s="7" t="s">
        <v>327</v>
      </c>
      <c r="AK54" s="9" t="s">
        <v>328</v>
      </c>
      <c r="AV54" s="7">
        <v>2.0</v>
      </c>
    </row>
    <row r="55">
      <c r="A55" s="6" t="str">
        <f t="shared" si="1"/>
        <v>3</v>
      </c>
      <c r="B55" s="7" t="s">
        <v>171</v>
      </c>
      <c r="C55" s="7" t="s">
        <v>344</v>
      </c>
      <c r="E55" s="7">
        <v>1.0</v>
      </c>
      <c r="F55" s="7" t="s">
        <v>343</v>
      </c>
      <c r="T55" s="7" t="s">
        <v>57</v>
      </c>
      <c r="V55" s="7">
        <v>1.0</v>
      </c>
      <c r="AF55" s="7" t="s">
        <v>345</v>
      </c>
      <c r="AG55" s="9" t="s">
        <v>346</v>
      </c>
      <c r="AH55" s="7" t="s">
        <v>67</v>
      </c>
      <c r="AI55" s="7" t="s">
        <v>62</v>
      </c>
      <c r="AW55" s="7">
        <v>1.0</v>
      </c>
    </row>
    <row r="56">
      <c r="A56" s="6" t="str">
        <f t="shared" si="1"/>
        <v>3</v>
      </c>
      <c r="B56" s="7" t="s">
        <v>171</v>
      </c>
      <c r="C56" s="7" t="s">
        <v>358</v>
      </c>
      <c r="I56" s="7">
        <v>2.0</v>
      </c>
      <c r="J56" s="7">
        <v>2.0</v>
      </c>
      <c r="T56" s="7" t="s">
        <v>70</v>
      </c>
      <c r="AF56" s="7" t="s">
        <v>359</v>
      </c>
      <c r="AG56" s="9" t="s">
        <v>360</v>
      </c>
      <c r="AH56" s="7" t="s">
        <v>67</v>
      </c>
      <c r="AI56" s="7" t="s">
        <v>62</v>
      </c>
      <c r="AS56" s="7">
        <v>1.0</v>
      </c>
      <c r="AT56" s="7">
        <v>5.0</v>
      </c>
      <c r="AX56" s="7">
        <v>6.0</v>
      </c>
      <c r="BB56" s="7">
        <v>1.0</v>
      </c>
    </row>
    <row r="57">
      <c r="A57" s="6" t="str">
        <f t="shared" si="1"/>
        <v>3</v>
      </c>
      <c r="B57" s="7" t="s">
        <v>171</v>
      </c>
      <c r="C57" s="7" t="s">
        <v>372</v>
      </c>
      <c r="E57" s="7">
        <v>2.0</v>
      </c>
      <c r="I57" s="7">
        <v>1.0</v>
      </c>
      <c r="T57" s="7" t="s">
        <v>57</v>
      </c>
      <c r="V57" s="7">
        <v>3.0</v>
      </c>
      <c r="AF57" s="7" t="s">
        <v>373</v>
      </c>
      <c r="AG57" s="9" t="s">
        <v>374</v>
      </c>
      <c r="AH57" s="7" t="s">
        <v>67</v>
      </c>
      <c r="AI57" s="7" t="s">
        <v>62</v>
      </c>
      <c r="AS57" s="7">
        <v>1.0</v>
      </c>
      <c r="AX57" s="7">
        <v>1.0</v>
      </c>
    </row>
    <row r="58">
      <c r="A58" s="6" t="str">
        <f t="shared" si="1"/>
        <v>3</v>
      </c>
      <c r="B58" s="7" t="s">
        <v>171</v>
      </c>
      <c r="C58" s="7" t="s">
        <v>399</v>
      </c>
      <c r="D58" s="7">
        <v>4.0</v>
      </c>
      <c r="E58" s="7">
        <v>1.0</v>
      </c>
      <c r="F58" s="7" t="s">
        <v>398</v>
      </c>
      <c r="J58" s="7">
        <v>1.0</v>
      </c>
      <c r="T58" s="7" t="s">
        <v>57</v>
      </c>
      <c r="U58" s="7">
        <v>15.0</v>
      </c>
      <c r="AF58" s="7" t="s">
        <v>400</v>
      </c>
      <c r="AG58" s="9" t="s">
        <v>401</v>
      </c>
      <c r="AH58" s="7" t="s">
        <v>67</v>
      </c>
      <c r="AI58" s="7" t="s">
        <v>68</v>
      </c>
      <c r="AK58" s="7">
        <v>40236.0</v>
      </c>
      <c r="AS58" s="7">
        <v>2.0</v>
      </c>
      <c r="AT58" s="7">
        <v>4.0</v>
      </c>
      <c r="AU58" s="7">
        <v>1.0</v>
      </c>
      <c r="AV58" s="7">
        <v>12.0</v>
      </c>
      <c r="AW58" s="7">
        <v>36.0</v>
      </c>
    </row>
    <row r="59">
      <c r="A59" s="6" t="str">
        <f t="shared" si="1"/>
        <v>4</v>
      </c>
      <c r="B59" s="7" t="s">
        <v>369</v>
      </c>
      <c r="C59" s="7" t="s">
        <v>366</v>
      </c>
      <c r="D59" s="7">
        <v>10.0</v>
      </c>
      <c r="E59" s="7">
        <v>5.0</v>
      </c>
      <c r="F59" s="7" t="s">
        <v>364</v>
      </c>
      <c r="G59" s="7">
        <v>2.0</v>
      </c>
      <c r="H59" s="7" t="s">
        <v>365</v>
      </c>
      <c r="I59" s="7">
        <v>2.0</v>
      </c>
      <c r="T59" s="7" t="s">
        <v>57</v>
      </c>
      <c r="U59" s="7">
        <v>6.0</v>
      </c>
      <c r="V59" s="7">
        <v>7.0</v>
      </c>
      <c r="AF59" s="7" t="s">
        <v>367</v>
      </c>
      <c r="AG59" s="9" t="s">
        <v>368</v>
      </c>
      <c r="AH59" s="7" t="s">
        <v>67</v>
      </c>
      <c r="AI59" s="7" t="s">
        <v>62</v>
      </c>
      <c r="AS59" s="7">
        <v>2.0</v>
      </c>
      <c r="AU59" s="7">
        <v>2.0</v>
      </c>
      <c r="AV59" s="7">
        <v>18.0</v>
      </c>
      <c r="AX59" s="7">
        <v>1.0</v>
      </c>
    </row>
    <row r="60">
      <c r="A60" s="6" t="str">
        <f t="shared" si="1"/>
        <v>4</v>
      </c>
      <c r="B60" s="7" t="s">
        <v>369</v>
      </c>
      <c r="C60" s="7" t="s">
        <v>375</v>
      </c>
      <c r="D60" s="7">
        <v>2.0</v>
      </c>
      <c r="T60" s="7" t="s">
        <v>57</v>
      </c>
      <c r="V60" s="7">
        <v>1.0</v>
      </c>
      <c r="AF60" s="7" t="s">
        <v>376</v>
      </c>
      <c r="AG60" s="9" t="s">
        <v>377</v>
      </c>
      <c r="AH60" s="7" t="s">
        <v>103</v>
      </c>
      <c r="AI60" s="7" t="s">
        <v>62</v>
      </c>
      <c r="AU60" s="7">
        <v>1.0</v>
      </c>
    </row>
    <row r="61">
      <c r="A61" s="6" t="str">
        <f t="shared" si="1"/>
        <v>5</v>
      </c>
      <c r="B61" s="7" t="s">
        <v>144</v>
      </c>
      <c r="C61" s="7" t="s">
        <v>209</v>
      </c>
      <c r="E61" s="7">
        <v>1.0</v>
      </c>
      <c r="F61" s="7" t="s">
        <v>208</v>
      </c>
      <c r="J61" s="7">
        <v>1.0</v>
      </c>
      <c r="T61" s="7" t="s">
        <v>70</v>
      </c>
      <c r="AF61" s="7" t="s">
        <v>210</v>
      </c>
      <c r="AG61" s="9" t="s">
        <v>211</v>
      </c>
      <c r="AH61" s="7" t="s">
        <v>67</v>
      </c>
      <c r="AI61" s="7" t="s">
        <v>62</v>
      </c>
    </row>
    <row r="62">
      <c r="A62" s="6" t="str">
        <f t="shared" si="1"/>
        <v>5</v>
      </c>
      <c r="B62" s="10" t="s">
        <v>144</v>
      </c>
      <c r="C62" s="10" t="s">
        <v>330</v>
      </c>
      <c r="D62" s="11"/>
      <c r="E62" s="10">
        <v>2.0</v>
      </c>
      <c r="F62" s="10" t="s">
        <v>329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0" t="s">
        <v>57</v>
      </c>
      <c r="U62" s="11"/>
      <c r="V62" s="10">
        <v>2.0</v>
      </c>
      <c r="W62" s="11"/>
      <c r="X62" s="11"/>
      <c r="Y62" s="11"/>
      <c r="Z62" s="11"/>
      <c r="AA62" s="11"/>
      <c r="AB62" s="11"/>
      <c r="AC62" s="11"/>
      <c r="AD62" s="11"/>
      <c r="AF62" s="10" t="s">
        <v>331</v>
      </c>
      <c r="AG62" s="12" t="s">
        <v>332</v>
      </c>
      <c r="AH62" s="10" t="s">
        <v>67</v>
      </c>
      <c r="AI62" s="10" t="s">
        <v>62</v>
      </c>
      <c r="AJ62" s="11"/>
      <c r="AK62" s="11"/>
      <c r="AM62" s="11"/>
      <c r="AN62" s="11"/>
      <c r="AO62" s="11"/>
      <c r="AP62" s="11"/>
      <c r="AQ62" s="11"/>
      <c r="AR62" s="11"/>
      <c r="AS62" s="11"/>
      <c r="AT62" s="11"/>
      <c r="AU62" s="11"/>
      <c r="AV62" s="10">
        <v>2.0</v>
      </c>
      <c r="AW62" s="11"/>
      <c r="AX62" s="10">
        <v>2.0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>
      <c r="A63" s="6" t="str">
        <f t="shared" si="1"/>
        <v>5</v>
      </c>
      <c r="B63" s="7" t="s">
        <v>144</v>
      </c>
      <c r="C63" s="7" t="s">
        <v>141</v>
      </c>
      <c r="W63" s="7">
        <v>1.0</v>
      </c>
      <c r="AF63" s="7" t="s">
        <v>142</v>
      </c>
      <c r="AG63" s="9" t="s">
        <v>143</v>
      </c>
      <c r="AH63" s="7" t="s">
        <v>103</v>
      </c>
      <c r="AI63" s="7" t="s">
        <v>62</v>
      </c>
      <c r="AP63" s="7">
        <v>1.0</v>
      </c>
      <c r="AR63" s="7">
        <v>1.0</v>
      </c>
    </row>
    <row r="64">
      <c r="A64" s="6" t="str">
        <f t="shared" si="1"/>
        <v>6</v>
      </c>
      <c r="B64" s="7" t="s">
        <v>69</v>
      </c>
      <c r="C64" s="7" t="s">
        <v>64</v>
      </c>
      <c r="D64" s="7">
        <v>1.0</v>
      </c>
      <c r="J64" s="7">
        <v>1.0</v>
      </c>
      <c r="T64" s="7" t="s">
        <v>57</v>
      </c>
      <c r="U64" s="7">
        <v>1.0</v>
      </c>
      <c r="AF64" s="7" t="s">
        <v>65</v>
      </c>
      <c r="AG64" s="9" t="s">
        <v>66</v>
      </c>
      <c r="AH64" s="7" t="s">
        <v>67</v>
      </c>
      <c r="AI64" s="7" t="s">
        <v>68</v>
      </c>
      <c r="AK64" s="7">
        <v>89423.0</v>
      </c>
      <c r="AM64" s="7" t="s">
        <v>64</v>
      </c>
      <c r="AN64" s="7">
        <v>408002.0</v>
      </c>
      <c r="AS64" s="7">
        <v>1.0</v>
      </c>
      <c r="AT64" s="7">
        <v>2.0</v>
      </c>
      <c r="AU64" s="7">
        <v>1.0</v>
      </c>
      <c r="AX64" s="7">
        <v>1.0</v>
      </c>
      <c r="BB64" s="7">
        <v>2.0</v>
      </c>
    </row>
    <row r="65">
      <c r="A65" s="6" t="str">
        <f t="shared" si="1"/>
        <v>6</v>
      </c>
      <c r="B65" s="7" t="s">
        <v>69</v>
      </c>
      <c r="C65" s="7" t="s">
        <v>80</v>
      </c>
      <c r="E65" s="7">
        <v>1.0</v>
      </c>
      <c r="F65" s="7" t="s">
        <v>79</v>
      </c>
      <c r="T65" s="7" t="s">
        <v>57</v>
      </c>
      <c r="U65" s="7">
        <v>1.0</v>
      </c>
      <c r="AF65" s="7" t="s">
        <v>81</v>
      </c>
      <c r="AG65" s="9" t="s">
        <v>82</v>
      </c>
      <c r="AH65" s="7" t="s">
        <v>83</v>
      </c>
      <c r="AI65" s="7" t="s">
        <v>68</v>
      </c>
      <c r="AK65" s="7">
        <v>93571.0</v>
      </c>
      <c r="AM65" s="7" t="s">
        <v>80</v>
      </c>
      <c r="AN65" s="7" t="s">
        <v>84</v>
      </c>
      <c r="AS65" s="7">
        <v>1.0</v>
      </c>
      <c r="AV65" s="7">
        <v>2.0</v>
      </c>
      <c r="BB65" s="7">
        <v>1.0</v>
      </c>
    </row>
    <row r="66">
      <c r="A66" s="6" t="str">
        <f t="shared" si="1"/>
        <v>6</v>
      </c>
      <c r="B66" s="7" t="s">
        <v>69</v>
      </c>
      <c r="C66" s="7" t="s">
        <v>86</v>
      </c>
      <c r="G66" s="7">
        <v>1.0</v>
      </c>
      <c r="H66" s="7" t="s">
        <v>85</v>
      </c>
      <c r="J66" s="7">
        <v>1.0</v>
      </c>
      <c r="T66" s="7" t="s">
        <v>70</v>
      </c>
      <c r="AF66" s="7" t="s">
        <v>87</v>
      </c>
      <c r="AG66" s="9" t="s">
        <v>88</v>
      </c>
      <c r="AH66" s="7" t="s">
        <v>67</v>
      </c>
      <c r="AI66" s="7" t="s">
        <v>68</v>
      </c>
      <c r="AK66" s="7">
        <v>86771.0</v>
      </c>
      <c r="AM66" s="7" t="s">
        <v>86</v>
      </c>
      <c r="AN66" s="7" t="s">
        <v>89</v>
      </c>
      <c r="AV66" s="7">
        <v>2.0</v>
      </c>
      <c r="BB66" s="7">
        <v>1.0</v>
      </c>
    </row>
    <row r="67">
      <c r="A67" s="6" t="str">
        <f t="shared" si="1"/>
        <v>6</v>
      </c>
      <c r="B67" s="7" t="s">
        <v>69</v>
      </c>
      <c r="C67" s="7" t="s">
        <v>93</v>
      </c>
      <c r="E67" s="7">
        <v>1.0</v>
      </c>
      <c r="F67" s="7" t="s">
        <v>56</v>
      </c>
      <c r="T67" s="7" t="s">
        <v>70</v>
      </c>
      <c r="AF67" s="7" t="s">
        <v>94</v>
      </c>
      <c r="AG67" s="9" t="s">
        <v>95</v>
      </c>
      <c r="AH67" s="7" t="s">
        <v>67</v>
      </c>
      <c r="AI67" s="7" t="s">
        <v>68</v>
      </c>
      <c r="AK67" s="7">
        <v>20536.0</v>
      </c>
      <c r="AM67" s="7" t="s">
        <v>93</v>
      </c>
      <c r="AN67" s="7" t="s">
        <v>96</v>
      </c>
      <c r="BB67" s="7">
        <v>1.0</v>
      </c>
    </row>
    <row r="68">
      <c r="A68" s="6" t="str">
        <f t="shared" si="1"/>
        <v>6</v>
      </c>
      <c r="B68" s="7" t="s">
        <v>69</v>
      </c>
      <c r="C68" s="7" t="s">
        <v>100</v>
      </c>
      <c r="D68" s="7">
        <v>1.0</v>
      </c>
      <c r="T68" s="7" t="s">
        <v>57</v>
      </c>
      <c r="V68" s="7">
        <v>1.0</v>
      </c>
      <c r="AF68" s="7" t="s">
        <v>101</v>
      </c>
      <c r="AG68" s="9" t="s">
        <v>102</v>
      </c>
      <c r="AH68" s="7" t="s">
        <v>103</v>
      </c>
      <c r="AI68" s="7" t="s">
        <v>68</v>
      </c>
      <c r="AK68" s="7">
        <v>27605.0</v>
      </c>
      <c r="AM68" s="7" t="s">
        <v>100</v>
      </c>
      <c r="AN68" s="7" t="s">
        <v>104</v>
      </c>
      <c r="AW68" s="7">
        <v>1.0</v>
      </c>
      <c r="BA68" s="7">
        <v>3.0</v>
      </c>
      <c r="BB68" s="7">
        <v>2.0</v>
      </c>
    </row>
    <row r="69">
      <c r="A69" s="6" t="str">
        <f t="shared" si="1"/>
        <v>6</v>
      </c>
      <c r="B69" s="7" t="s">
        <v>69</v>
      </c>
      <c r="C69" s="7" t="s">
        <v>112</v>
      </c>
      <c r="D69" s="7">
        <v>3.0</v>
      </c>
      <c r="T69" s="7" t="s">
        <v>70</v>
      </c>
      <c r="AF69" s="7" t="s">
        <v>113</v>
      </c>
      <c r="AG69" s="9" t="s">
        <v>114</v>
      </c>
      <c r="AH69" s="7" t="s">
        <v>67</v>
      </c>
      <c r="AI69" s="7" t="s">
        <v>68</v>
      </c>
      <c r="AK69" s="7">
        <v>43004.0</v>
      </c>
      <c r="AM69" s="7" t="s">
        <v>112</v>
      </c>
      <c r="AN69" s="7" t="s">
        <v>115</v>
      </c>
      <c r="AS69" s="7">
        <v>1.0</v>
      </c>
    </row>
    <row r="70">
      <c r="A70" s="6" t="str">
        <f t="shared" si="1"/>
        <v>6</v>
      </c>
      <c r="B70" s="7" t="s">
        <v>69</v>
      </c>
      <c r="C70" s="7" t="s">
        <v>123</v>
      </c>
      <c r="D70" s="7">
        <v>2.0</v>
      </c>
      <c r="T70" s="7" t="s">
        <v>70</v>
      </c>
      <c r="AF70" s="7" t="s">
        <v>124</v>
      </c>
      <c r="AG70" s="9" t="s">
        <v>125</v>
      </c>
      <c r="AH70" s="7" t="s">
        <v>67</v>
      </c>
      <c r="AI70" s="7" t="s">
        <v>68</v>
      </c>
      <c r="AJ70" s="7" t="s">
        <v>126</v>
      </c>
      <c r="AK70" s="7">
        <v>52430.0</v>
      </c>
      <c r="AM70" s="7" t="s">
        <v>123</v>
      </c>
      <c r="AN70" s="7" t="s">
        <v>127</v>
      </c>
      <c r="AS70" s="7">
        <v>3.0</v>
      </c>
    </row>
    <row r="71">
      <c r="A71" s="6" t="str">
        <f t="shared" si="1"/>
        <v>6</v>
      </c>
      <c r="B71" s="7" t="s">
        <v>69</v>
      </c>
      <c r="C71" s="7" t="s">
        <v>128</v>
      </c>
      <c r="D71" s="7">
        <v>1.0</v>
      </c>
      <c r="T71" s="7" t="s">
        <v>70</v>
      </c>
      <c r="AF71" s="7" t="s">
        <v>129</v>
      </c>
      <c r="AG71" s="9" t="s">
        <v>130</v>
      </c>
      <c r="AH71" s="7" t="s">
        <v>67</v>
      </c>
      <c r="AI71" s="7" t="s">
        <v>68</v>
      </c>
      <c r="AJ71" s="7" t="s">
        <v>131</v>
      </c>
      <c r="AK71" s="7">
        <v>43941.0</v>
      </c>
      <c r="AM71" s="7" t="s">
        <v>128</v>
      </c>
      <c r="AN71" s="7" t="s">
        <v>132</v>
      </c>
    </row>
    <row r="72">
      <c r="A72" s="6" t="str">
        <f t="shared" si="1"/>
        <v>6</v>
      </c>
      <c r="B72" s="7" t="s">
        <v>69</v>
      </c>
      <c r="C72" s="7" t="s">
        <v>133</v>
      </c>
      <c r="D72" s="7">
        <v>1.0</v>
      </c>
      <c r="T72" s="7" t="s">
        <v>70</v>
      </c>
      <c r="AF72" s="7" t="s">
        <v>134</v>
      </c>
      <c r="AG72" s="9" t="s">
        <v>135</v>
      </c>
      <c r="AH72" s="7" t="s">
        <v>67</v>
      </c>
      <c r="AI72" s="7" t="s">
        <v>68</v>
      </c>
      <c r="AK72" s="7">
        <v>69780.0</v>
      </c>
      <c r="AM72" s="7" t="s">
        <v>133</v>
      </c>
      <c r="AN72" s="7" t="s">
        <v>136</v>
      </c>
    </row>
    <row r="73">
      <c r="A73" s="6" t="str">
        <f t="shared" si="1"/>
        <v>6</v>
      </c>
      <c r="B73" s="7" t="s">
        <v>69</v>
      </c>
      <c r="C73" s="7" t="s">
        <v>159</v>
      </c>
      <c r="AF73" s="7" t="s">
        <v>160</v>
      </c>
      <c r="AG73" s="9" t="s">
        <v>161</v>
      </c>
      <c r="AH73" s="7" t="s">
        <v>67</v>
      </c>
      <c r="AI73" s="7" t="s">
        <v>62</v>
      </c>
      <c r="AJ73" s="7" t="s">
        <v>162</v>
      </c>
      <c r="AM73" s="7" t="s">
        <v>159</v>
      </c>
      <c r="AN73" s="7" t="s">
        <v>163</v>
      </c>
      <c r="AQ73" s="7">
        <v>5.0</v>
      </c>
      <c r="AR73" s="7">
        <v>5.0</v>
      </c>
    </row>
    <row r="74">
      <c r="A74" s="6" t="str">
        <f t="shared" si="1"/>
        <v>6</v>
      </c>
      <c r="B74" s="7" t="s">
        <v>69</v>
      </c>
      <c r="C74" s="7" t="s">
        <v>176</v>
      </c>
      <c r="W74" s="7">
        <v>2.0</v>
      </c>
      <c r="AA74" s="7">
        <v>2.0</v>
      </c>
      <c r="AF74" s="7" t="s">
        <v>177</v>
      </c>
      <c r="AG74" s="9" t="s">
        <v>178</v>
      </c>
      <c r="AH74" s="7" t="s">
        <v>67</v>
      </c>
      <c r="AI74" s="7" t="s">
        <v>68</v>
      </c>
      <c r="AJ74" s="7" t="s">
        <v>179</v>
      </c>
      <c r="AK74" s="7">
        <v>61391.0</v>
      </c>
      <c r="AM74" s="7" t="s">
        <v>176</v>
      </c>
      <c r="AN74" s="7" t="s">
        <v>180</v>
      </c>
      <c r="AP74" s="7">
        <v>2.0</v>
      </c>
    </row>
    <row r="75">
      <c r="A75" s="6" t="str">
        <f t="shared" si="1"/>
        <v>6</v>
      </c>
      <c r="B75" s="10" t="s">
        <v>69</v>
      </c>
      <c r="C75" s="10" t="s">
        <v>187</v>
      </c>
      <c r="D75" s="11"/>
      <c r="E75" s="11"/>
      <c r="F75" s="11"/>
      <c r="G75" s="10">
        <v>2.0</v>
      </c>
      <c r="H75" s="11"/>
      <c r="I75" s="11"/>
      <c r="J75" s="10">
        <v>1.0</v>
      </c>
      <c r="K75" s="11"/>
      <c r="L75" s="11"/>
      <c r="M75" s="11"/>
      <c r="N75" s="11"/>
      <c r="O75" s="11"/>
      <c r="P75" s="11"/>
      <c r="Q75" s="11"/>
      <c r="R75" s="11"/>
      <c r="S75" s="11"/>
      <c r="T75" s="10" t="s">
        <v>70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F75" s="10" t="s">
        <v>188</v>
      </c>
      <c r="AG75" s="12" t="s">
        <v>189</v>
      </c>
      <c r="AH75" s="10" t="s">
        <v>67</v>
      </c>
      <c r="AI75" s="10" t="s">
        <v>62</v>
      </c>
      <c r="AJ75" s="11"/>
      <c r="AK75" s="11"/>
      <c r="AM75" s="10" t="s">
        <v>187</v>
      </c>
      <c r="AN75" s="10" t="s">
        <v>190</v>
      </c>
      <c r="AO75" s="11"/>
      <c r="AP75" s="11"/>
      <c r="AQ75" s="11"/>
      <c r="AR75" s="11"/>
      <c r="AS75" s="10">
        <v>1.0</v>
      </c>
      <c r="AT75" s="10">
        <v>2.0</v>
      </c>
      <c r="AU75" s="11"/>
      <c r="AV75" s="10">
        <v>5.0</v>
      </c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</row>
    <row r="76">
      <c r="A76" s="6" t="str">
        <f t="shared" si="1"/>
        <v>6</v>
      </c>
      <c r="B76" s="7" t="s">
        <v>69</v>
      </c>
      <c r="C76" s="7" t="s">
        <v>195</v>
      </c>
      <c r="G76" s="7">
        <v>1.0</v>
      </c>
      <c r="H76" s="7" t="s">
        <v>194</v>
      </c>
      <c r="J76" s="7">
        <v>1.0</v>
      </c>
      <c r="T76" s="7" t="s">
        <v>57</v>
      </c>
      <c r="U76" s="7">
        <v>1.0</v>
      </c>
      <c r="AF76" s="7" t="s">
        <v>196</v>
      </c>
      <c r="AG76" s="9" t="s">
        <v>197</v>
      </c>
      <c r="AH76" s="7" t="s">
        <v>67</v>
      </c>
      <c r="AI76" s="7" t="s">
        <v>68</v>
      </c>
      <c r="AK76" s="7">
        <v>37186.0</v>
      </c>
      <c r="AM76" s="7" t="s">
        <v>195</v>
      </c>
      <c r="AN76" s="7" t="s">
        <v>198</v>
      </c>
      <c r="AS76" s="7">
        <v>1.0</v>
      </c>
      <c r="AV76" s="7">
        <v>2.0</v>
      </c>
    </row>
    <row r="77">
      <c r="A77" s="6" t="str">
        <f t="shared" si="1"/>
        <v>6</v>
      </c>
      <c r="B77" s="7" t="s">
        <v>69</v>
      </c>
      <c r="C77" s="7" t="s">
        <v>199</v>
      </c>
      <c r="D77" s="7">
        <v>2.0</v>
      </c>
      <c r="I77" s="7">
        <v>1.0</v>
      </c>
      <c r="T77" s="7" t="s">
        <v>70</v>
      </c>
      <c r="AF77" s="7" t="s">
        <v>200</v>
      </c>
      <c r="AG77" s="9" t="s">
        <v>201</v>
      </c>
      <c r="AH77" s="7" t="s">
        <v>67</v>
      </c>
      <c r="AI77" s="7" t="s">
        <v>68</v>
      </c>
      <c r="AJ77" s="7" t="s">
        <v>202</v>
      </c>
      <c r="AK77" s="7">
        <v>11111.0</v>
      </c>
      <c r="AM77" s="7" t="s">
        <v>199</v>
      </c>
      <c r="AN77" s="7" t="s">
        <v>203</v>
      </c>
    </row>
    <row r="78">
      <c r="A78" s="6" t="str">
        <f t="shared" si="1"/>
        <v>6</v>
      </c>
      <c r="B78" s="10" t="s">
        <v>69</v>
      </c>
      <c r="C78" s="10" t="s">
        <v>199</v>
      </c>
      <c r="D78" s="11"/>
      <c r="E78" s="10">
        <v>2.0</v>
      </c>
      <c r="F78" s="10" t="s">
        <v>204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0" t="s">
        <v>70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F78" s="10" t="s">
        <v>200</v>
      </c>
      <c r="AG78" s="12" t="s">
        <v>201</v>
      </c>
      <c r="AH78" s="10" t="s">
        <v>61</v>
      </c>
      <c r="AI78" s="10" t="s">
        <v>68</v>
      </c>
      <c r="AJ78" s="10" t="s">
        <v>202</v>
      </c>
      <c r="AK78" s="10">
        <v>11111.0</v>
      </c>
      <c r="AM78" s="10" t="s">
        <v>199</v>
      </c>
      <c r="AN78" s="10" t="s">
        <v>203</v>
      </c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</row>
    <row r="79">
      <c r="A79" s="6" t="str">
        <f t="shared" si="1"/>
        <v>6</v>
      </c>
      <c r="B79" s="7" t="s">
        <v>69</v>
      </c>
      <c r="C79" s="7" t="s">
        <v>217</v>
      </c>
      <c r="I79" s="7">
        <v>8.0</v>
      </c>
      <c r="T79" s="7" t="s">
        <v>57</v>
      </c>
      <c r="U79" s="7">
        <v>1.0</v>
      </c>
      <c r="V79" s="7">
        <v>1.0</v>
      </c>
      <c r="AF79" s="7" t="s">
        <v>218</v>
      </c>
      <c r="AG79" s="9" t="s">
        <v>219</v>
      </c>
      <c r="AH79" s="7" t="s">
        <v>67</v>
      </c>
      <c r="AI79" s="7" t="s">
        <v>68</v>
      </c>
      <c r="AK79" s="9" t="s">
        <v>220</v>
      </c>
      <c r="AM79" s="7" t="s">
        <v>217</v>
      </c>
      <c r="AN79" s="7" t="s">
        <v>221</v>
      </c>
    </row>
    <row r="80">
      <c r="A80" s="6" t="str">
        <f t="shared" si="1"/>
        <v>6</v>
      </c>
      <c r="B80" s="7" t="s">
        <v>69</v>
      </c>
      <c r="C80" s="7" t="s">
        <v>222</v>
      </c>
      <c r="E80" s="7">
        <v>1.0</v>
      </c>
      <c r="F80" s="7" t="s">
        <v>56</v>
      </c>
      <c r="T80" s="7" t="s">
        <v>70</v>
      </c>
      <c r="AF80" s="7" t="s">
        <v>223</v>
      </c>
      <c r="AG80" s="9" t="s">
        <v>224</v>
      </c>
      <c r="AH80" s="7" t="s">
        <v>83</v>
      </c>
      <c r="AI80" s="7" t="s">
        <v>68</v>
      </c>
      <c r="AK80" s="9" t="s">
        <v>225</v>
      </c>
      <c r="AM80" s="7" t="s">
        <v>226</v>
      </c>
      <c r="AN80" s="7">
        <v>358006.0</v>
      </c>
    </row>
    <row r="81">
      <c r="A81" s="6" t="str">
        <f t="shared" si="1"/>
        <v>6</v>
      </c>
      <c r="B81" s="7" t="s">
        <v>69</v>
      </c>
      <c r="C81" s="7" t="s">
        <v>231</v>
      </c>
      <c r="I81" s="7" t="s">
        <v>230</v>
      </c>
      <c r="T81" s="7" t="s">
        <v>70</v>
      </c>
      <c r="AF81" s="7" t="s">
        <v>232</v>
      </c>
      <c r="AG81" s="9" t="s">
        <v>233</v>
      </c>
      <c r="AH81" s="7" t="s">
        <v>67</v>
      </c>
      <c r="AI81" s="7" t="s">
        <v>68</v>
      </c>
      <c r="AK81" s="7" t="s">
        <v>234</v>
      </c>
      <c r="AM81" s="7" t="s">
        <v>231</v>
      </c>
      <c r="AN81" s="7" t="s">
        <v>235</v>
      </c>
      <c r="AV81" s="7">
        <v>2.0</v>
      </c>
      <c r="AX81" s="7">
        <v>2.0</v>
      </c>
    </row>
    <row r="82">
      <c r="A82" s="6" t="str">
        <f t="shared" si="1"/>
        <v>6</v>
      </c>
      <c r="B82" s="7" t="s">
        <v>69</v>
      </c>
      <c r="C82" s="7" t="s">
        <v>250</v>
      </c>
      <c r="G82" s="7">
        <v>2.0</v>
      </c>
      <c r="H82" s="7" t="s">
        <v>249</v>
      </c>
      <c r="J82" s="7">
        <v>1.0</v>
      </c>
      <c r="T82" s="7" t="s">
        <v>57</v>
      </c>
      <c r="V82" s="7">
        <v>2.0</v>
      </c>
      <c r="AF82" s="7" t="s">
        <v>251</v>
      </c>
      <c r="AG82" s="9" t="s">
        <v>252</v>
      </c>
      <c r="AH82" s="7" t="s">
        <v>67</v>
      </c>
      <c r="AI82" s="7" t="s">
        <v>68</v>
      </c>
      <c r="AK82" s="7">
        <v>38640.0</v>
      </c>
      <c r="AM82" s="7" t="s">
        <v>250</v>
      </c>
      <c r="AN82" s="7" t="s">
        <v>253</v>
      </c>
    </row>
    <row r="83">
      <c r="A83" s="6" t="str">
        <f t="shared" si="1"/>
        <v>6</v>
      </c>
      <c r="B83" s="7" t="s">
        <v>69</v>
      </c>
      <c r="C83" s="7" t="s">
        <v>259</v>
      </c>
      <c r="D83" s="7">
        <v>2.0</v>
      </c>
      <c r="J83" s="7">
        <v>1.0</v>
      </c>
      <c r="T83" s="7" t="s">
        <v>57</v>
      </c>
      <c r="U83" s="7">
        <v>1.0</v>
      </c>
      <c r="V83" s="7">
        <v>1.0</v>
      </c>
      <c r="AF83" s="7" t="s">
        <v>260</v>
      </c>
      <c r="AG83" s="9" t="s">
        <v>261</v>
      </c>
      <c r="AH83" s="7" t="s">
        <v>61</v>
      </c>
      <c r="AI83" s="7" t="s">
        <v>68</v>
      </c>
      <c r="AK83" s="7">
        <v>31637.0</v>
      </c>
      <c r="AM83" s="7" t="s">
        <v>259</v>
      </c>
      <c r="AN83" s="7" t="s">
        <v>262</v>
      </c>
      <c r="AU83" s="7">
        <v>1.0</v>
      </c>
      <c r="AV83" s="7">
        <v>1.0</v>
      </c>
      <c r="AW83" s="7">
        <v>1.0</v>
      </c>
      <c r="AX83" s="7">
        <v>1.0</v>
      </c>
    </row>
    <row r="84">
      <c r="A84" s="6" t="str">
        <f t="shared" si="1"/>
        <v>6</v>
      </c>
      <c r="B84" s="7" t="s">
        <v>69</v>
      </c>
      <c r="C84" s="7" t="s">
        <v>263</v>
      </c>
      <c r="D84" s="7">
        <v>1.0</v>
      </c>
      <c r="T84" s="7" t="s">
        <v>57</v>
      </c>
      <c r="U84" s="7">
        <v>4.0</v>
      </c>
      <c r="V84" s="7">
        <v>4.0</v>
      </c>
      <c r="AF84" s="7" t="s">
        <v>260</v>
      </c>
      <c r="AG84" s="9" t="s">
        <v>261</v>
      </c>
      <c r="AH84" s="7" t="s">
        <v>61</v>
      </c>
      <c r="AI84" s="7" t="s">
        <v>68</v>
      </c>
      <c r="AJ84" s="7" t="s">
        <v>264</v>
      </c>
      <c r="AK84" s="7">
        <v>31637.0</v>
      </c>
      <c r="AM84" s="7" t="s">
        <v>265</v>
      </c>
      <c r="AN84" s="7" t="s">
        <v>266</v>
      </c>
      <c r="AT84" s="7">
        <v>3.0</v>
      </c>
      <c r="AV84" s="7">
        <v>2.0</v>
      </c>
      <c r="AX84" s="7">
        <v>2.0</v>
      </c>
      <c r="BA84" s="7">
        <v>1.0</v>
      </c>
    </row>
    <row r="85">
      <c r="A85" s="6" t="str">
        <f t="shared" si="1"/>
        <v>6</v>
      </c>
      <c r="B85" s="7" t="s">
        <v>69</v>
      </c>
      <c r="C85" s="7" t="s">
        <v>159</v>
      </c>
      <c r="AA85" s="7">
        <v>3.0</v>
      </c>
      <c r="AF85" s="7" t="s">
        <v>160</v>
      </c>
      <c r="AG85" s="9" t="s">
        <v>161</v>
      </c>
      <c r="AH85" s="7" t="s">
        <v>67</v>
      </c>
      <c r="AI85" s="7" t="s">
        <v>68</v>
      </c>
      <c r="AK85" s="7">
        <v>92024.0</v>
      </c>
      <c r="AM85" s="7" t="s">
        <v>159</v>
      </c>
      <c r="AN85" s="7" t="s">
        <v>171</v>
      </c>
      <c r="AP85" s="7">
        <v>3.0</v>
      </c>
    </row>
    <row r="86">
      <c r="A86" s="6" t="str">
        <f t="shared" si="1"/>
        <v>6</v>
      </c>
      <c r="B86" s="7" t="s">
        <v>69</v>
      </c>
      <c r="C86" s="7" t="s">
        <v>303</v>
      </c>
      <c r="D86" s="7">
        <v>1.0</v>
      </c>
      <c r="T86" s="7" t="s">
        <v>70</v>
      </c>
      <c r="AF86" s="7" t="s">
        <v>304</v>
      </c>
      <c r="AG86" s="9" t="s">
        <v>305</v>
      </c>
      <c r="AH86" s="7" t="s">
        <v>83</v>
      </c>
      <c r="AI86" s="7" t="s">
        <v>68</v>
      </c>
      <c r="AJ86" s="7" t="s">
        <v>306</v>
      </c>
      <c r="AK86" s="7">
        <v>89434.0</v>
      </c>
      <c r="AM86" s="7" t="s">
        <v>303</v>
      </c>
      <c r="AN86" s="7" t="s">
        <v>307</v>
      </c>
      <c r="AT86" s="7">
        <v>1.0</v>
      </c>
      <c r="AV86" s="7">
        <v>1.0</v>
      </c>
      <c r="AW86" s="7">
        <v>1.0</v>
      </c>
      <c r="AX86" s="7">
        <v>1.0</v>
      </c>
    </row>
    <row r="87">
      <c r="A87" s="6" t="str">
        <f t="shared" si="1"/>
        <v>6</v>
      </c>
      <c r="B87" s="7" t="s">
        <v>69</v>
      </c>
      <c r="C87" s="7" t="s">
        <v>308</v>
      </c>
      <c r="I87" s="7">
        <v>2.0</v>
      </c>
      <c r="T87" s="7" t="s">
        <v>70</v>
      </c>
      <c r="AF87" s="7" t="s">
        <v>309</v>
      </c>
      <c r="AG87" s="9" t="s">
        <v>310</v>
      </c>
      <c r="AH87" s="7" t="s">
        <v>67</v>
      </c>
      <c r="AI87" s="7" t="s">
        <v>62</v>
      </c>
      <c r="AJ87" s="7" t="s">
        <v>311</v>
      </c>
      <c r="AM87" s="7" t="s">
        <v>199</v>
      </c>
      <c r="AN87" s="7" t="s">
        <v>312</v>
      </c>
    </row>
    <row r="88">
      <c r="A88" s="6" t="str">
        <f t="shared" si="1"/>
        <v>6</v>
      </c>
      <c r="B88" s="7" t="s">
        <v>69</v>
      </c>
      <c r="C88" s="7" t="s">
        <v>313</v>
      </c>
      <c r="D88" s="7">
        <v>2.0</v>
      </c>
      <c r="T88" s="7" t="s">
        <v>70</v>
      </c>
      <c r="AF88" s="7" t="s">
        <v>314</v>
      </c>
      <c r="AG88" s="9" t="s">
        <v>315</v>
      </c>
      <c r="AH88" s="7" t="s">
        <v>67</v>
      </c>
      <c r="AI88" s="7" t="s">
        <v>68</v>
      </c>
      <c r="AK88" s="7">
        <v>94879.0</v>
      </c>
      <c r="AM88" s="7" t="s">
        <v>313</v>
      </c>
      <c r="AN88" s="7" t="s">
        <v>316</v>
      </c>
    </row>
    <row r="89">
      <c r="A89" s="6" t="str">
        <f t="shared" si="1"/>
        <v>6</v>
      </c>
      <c r="B89" s="7" t="s">
        <v>69</v>
      </c>
      <c r="C89" s="7" t="s">
        <v>339</v>
      </c>
      <c r="G89" s="7">
        <v>1.0</v>
      </c>
      <c r="H89" s="7" t="s">
        <v>338</v>
      </c>
      <c r="I89" s="7">
        <v>1.0</v>
      </c>
      <c r="T89" s="7" t="s">
        <v>70</v>
      </c>
      <c r="AF89" s="7" t="s">
        <v>340</v>
      </c>
      <c r="AG89" s="9" t="s">
        <v>341</v>
      </c>
      <c r="AH89" s="7" t="s">
        <v>83</v>
      </c>
      <c r="AI89" s="7" t="s">
        <v>68</v>
      </c>
      <c r="AK89" s="7">
        <v>97121.0</v>
      </c>
      <c r="AM89" s="7" t="s">
        <v>339</v>
      </c>
      <c r="AN89" s="7" t="s">
        <v>342</v>
      </c>
      <c r="AV89" s="7">
        <v>1.0</v>
      </c>
      <c r="AW89" s="7">
        <v>2.0</v>
      </c>
      <c r="AX89" s="7">
        <v>2.0</v>
      </c>
    </row>
    <row r="90">
      <c r="A90" s="6" t="str">
        <f t="shared" si="1"/>
        <v>6</v>
      </c>
      <c r="B90" s="7" t="s">
        <v>69</v>
      </c>
      <c r="C90" s="7" t="s">
        <v>354</v>
      </c>
      <c r="W90" s="7">
        <v>10.0</v>
      </c>
      <c r="AF90" s="7" t="s">
        <v>355</v>
      </c>
      <c r="AG90" s="9" t="s">
        <v>356</v>
      </c>
      <c r="AH90" s="7" t="s">
        <v>67</v>
      </c>
      <c r="AI90" s="7" t="s">
        <v>68</v>
      </c>
      <c r="AK90" s="7">
        <v>29550.0</v>
      </c>
      <c r="AM90" s="7" t="s">
        <v>354</v>
      </c>
      <c r="AN90" s="7" t="s">
        <v>357</v>
      </c>
    </row>
    <row r="91">
      <c r="A91" s="6" t="str">
        <f t="shared" si="1"/>
        <v>6</v>
      </c>
      <c r="B91" s="7" t="s">
        <v>69</v>
      </c>
      <c r="C91" s="7" t="s">
        <v>378</v>
      </c>
      <c r="D91" s="7">
        <v>1.0</v>
      </c>
      <c r="J91" s="7">
        <v>1.0</v>
      </c>
      <c r="T91" s="7" t="s">
        <v>57</v>
      </c>
      <c r="V91" s="7">
        <v>1.0</v>
      </c>
      <c r="AF91" s="7" t="s">
        <v>379</v>
      </c>
      <c r="AG91" s="9" t="s">
        <v>380</v>
      </c>
      <c r="AH91" s="7" t="s">
        <v>103</v>
      </c>
      <c r="AI91" s="7" t="s">
        <v>68</v>
      </c>
      <c r="AK91" s="7">
        <v>45171.0</v>
      </c>
      <c r="AM91" s="7" t="s">
        <v>378</v>
      </c>
      <c r="AN91" s="7">
        <v>551005.0</v>
      </c>
      <c r="AS91" s="7">
        <v>1.0</v>
      </c>
      <c r="AU91" s="7">
        <v>2.0</v>
      </c>
      <c r="AV91" s="7">
        <v>6.0</v>
      </c>
    </row>
    <row r="92">
      <c r="A92" s="6" t="str">
        <f t="shared" si="1"/>
        <v>6</v>
      </c>
      <c r="B92" s="7" t="s">
        <v>69</v>
      </c>
      <c r="C92" s="7" t="s">
        <v>384</v>
      </c>
      <c r="E92" s="7">
        <v>2.0</v>
      </c>
      <c r="F92" s="7" t="s">
        <v>56</v>
      </c>
      <c r="T92" s="7" t="s">
        <v>57</v>
      </c>
      <c r="U92" s="7">
        <v>1.0</v>
      </c>
      <c r="V92" s="7">
        <v>1.0</v>
      </c>
      <c r="AF92" s="7" t="s">
        <v>385</v>
      </c>
      <c r="AG92" s="9" t="s">
        <v>386</v>
      </c>
      <c r="AH92" s="7" t="s">
        <v>61</v>
      </c>
      <c r="AI92" s="7" t="s">
        <v>62</v>
      </c>
      <c r="AM92" s="7" t="s">
        <v>384</v>
      </c>
      <c r="AN92" s="7" t="s">
        <v>387</v>
      </c>
      <c r="AT92" s="7">
        <v>1.0</v>
      </c>
      <c r="AU92" s="7"/>
      <c r="AV92" s="7">
        <v>5.0</v>
      </c>
    </row>
    <row r="93">
      <c r="A93" s="6" t="str">
        <f t="shared" si="1"/>
        <v>6</v>
      </c>
      <c r="B93" s="7" t="s">
        <v>69</v>
      </c>
      <c r="C93" s="7" t="s">
        <v>388</v>
      </c>
      <c r="I93" s="7">
        <v>1.0</v>
      </c>
      <c r="T93" s="7" t="s">
        <v>70</v>
      </c>
      <c r="Z93" s="7">
        <v>1.0</v>
      </c>
      <c r="AA93" s="7">
        <v>2.0</v>
      </c>
      <c r="AF93" s="7" t="s">
        <v>389</v>
      </c>
      <c r="AG93" s="9" t="s">
        <v>390</v>
      </c>
      <c r="AH93" s="7" t="s">
        <v>67</v>
      </c>
      <c r="AI93" s="7" t="s">
        <v>68</v>
      </c>
      <c r="AK93" s="7">
        <v>13743.0</v>
      </c>
      <c r="AM93" s="7" t="s">
        <v>388</v>
      </c>
      <c r="AN93" s="7" t="s">
        <v>391</v>
      </c>
      <c r="AU93" s="7">
        <v>2.0</v>
      </c>
    </row>
    <row r="94">
      <c r="A94" s="6" t="str">
        <f t="shared" si="1"/>
        <v>6</v>
      </c>
      <c r="B94" s="7" t="s">
        <v>69</v>
      </c>
      <c r="C94" s="7" t="s">
        <v>392</v>
      </c>
      <c r="I94" s="7">
        <v>1.0</v>
      </c>
      <c r="T94" s="7" t="s">
        <v>70</v>
      </c>
      <c r="AF94" s="7" t="s">
        <v>393</v>
      </c>
      <c r="AG94" s="9" t="s">
        <v>394</v>
      </c>
      <c r="AH94" s="7" t="s">
        <v>67</v>
      </c>
      <c r="AI94" s="7" t="s">
        <v>68</v>
      </c>
      <c r="AK94" s="9" t="s">
        <v>395</v>
      </c>
      <c r="AM94" s="7" t="s">
        <v>396</v>
      </c>
      <c r="AN94" s="7" t="s">
        <v>397</v>
      </c>
    </row>
    <row r="95">
      <c r="A95" s="7"/>
      <c r="B95" s="7"/>
      <c r="C95" s="7"/>
      <c r="D95" s="7"/>
      <c r="E95" s="7"/>
      <c r="F95" s="7"/>
      <c r="J95" s="7"/>
      <c r="T95" s="7"/>
      <c r="U95" s="7"/>
      <c r="AF95" s="7"/>
      <c r="AG95" s="7"/>
      <c r="AH95" s="7"/>
      <c r="AI95" s="7"/>
      <c r="AK95" s="7"/>
      <c r="AS95" s="7"/>
      <c r="AT95" s="7"/>
      <c r="AU95" s="7"/>
      <c r="AV95" s="7"/>
      <c r="AW95" s="7"/>
    </row>
    <row r="96">
      <c r="A96" s="13"/>
      <c r="B96" s="13"/>
      <c r="C96" s="14" t="s">
        <v>402</v>
      </c>
      <c r="D96" s="15" t="s">
        <v>403</v>
      </c>
      <c r="E96" s="15"/>
    </row>
    <row r="97">
      <c r="A97" s="14" t="s">
        <v>403</v>
      </c>
      <c r="B97" s="13"/>
      <c r="C97" s="13"/>
      <c r="D97" s="13"/>
      <c r="G97" s="16">
        <f>SUM(G2:G94)</f>
        <v>13</v>
      </c>
      <c r="I97" s="16">
        <f t="shared" ref="I97:J97" si="2">SUM(I2:I94)</f>
        <v>22</v>
      </c>
      <c r="J97" s="16">
        <f t="shared" si="2"/>
        <v>27</v>
      </c>
      <c r="K97" s="7">
        <v>0.0</v>
      </c>
      <c r="L97" s="16">
        <f t="shared" ref="L97:S97" si="3">SUM(L2:L94)</f>
        <v>0</v>
      </c>
      <c r="M97" s="16">
        <f t="shared" si="3"/>
        <v>1</v>
      </c>
      <c r="N97" s="16">
        <f t="shared" si="3"/>
        <v>0</v>
      </c>
      <c r="O97" s="16">
        <f t="shared" si="3"/>
        <v>0</v>
      </c>
      <c r="P97" s="16">
        <f t="shared" si="3"/>
        <v>0</v>
      </c>
      <c r="Q97" s="16">
        <f t="shared" si="3"/>
        <v>0</v>
      </c>
      <c r="R97" s="16">
        <f t="shared" si="3"/>
        <v>0</v>
      </c>
      <c r="S97" s="16">
        <f t="shared" si="3"/>
        <v>0</v>
      </c>
      <c r="U97" s="16">
        <f t="shared" ref="U97:AD97" si="4">SUM(U2:U94)</f>
        <v>45</v>
      </c>
      <c r="V97" s="16">
        <f t="shared" si="4"/>
        <v>46</v>
      </c>
      <c r="W97" s="16">
        <f t="shared" si="4"/>
        <v>15</v>
      </c>
      <c r="X97" s="16">
        <f t="shared" si="4"/>
        <v>1</v>
      </c>
      <c r="Y97" s="16">
        <f t="shared" si="4"/>
        <v>5</v>
      </c>
      <c r="Z97" s="16">
        <f t="shared" si="4"/>
        <v>3</v>
      </c>
      <c r="AA97" s="16">
        <f t="shared" si="4"/>
        <v>18</v>
      </c>
      <c r="AB97" s="16">
        <f t="shared" si="4"/>
        <v>0</v>
      </c>
      <c r="AC97" s="16">
        <f t="shared" si="4"/>
        <v>0</v>
      </c>
      <c r="AD97" s="16">
        <f t="shared" si="4"/>
        <v>0</v>
      </c>
      <c r="AO97" s="16">
        <f t="shared" ref="AO97:BC97" si="5">SUM(AO2:AO94)</f>
        <v>0</v>
      </c>
      <c r="AP97" s="16">
        <f t="shared" si="5"/>
        <v>11</v>
      </c>
      <c r="AQ97" s="16">
        <f t="shared" si="5"/>
        <v>17</v>
      </c>
      <c r="AR97" s="16">
        <f t="shared" si="5"/>
        <v>19</v>
      </c>
      <c r="AS97" s="16">
        <f t="shared" si="5"/>
        <v>25</v>
      </c>
      <c r="AT97" s="16">
        <f t="shared" si="5"/>
        <v>26</v>
      </c>
      <c r="AU97" s="16">
        <f t="shared" si="5"/>
        <v>15</v>
      </c>
      <c r="AV97" s="16">
        <f t="shared" si="5"/>
        <v>99</v>
      </c>
      <c r="AW97" s="16">
        <f t="shared" si="5"/>
        <v>47</v>
      </c>
      <c r="AX97" s="16">
        <f t="shared" si="5"/>
        <v>21</v>
      </c>
      <c r="AY97" s="16">
        <f t="shared" si="5"/>
        <v>41</v>
      </c>
      <c r="AZ97" s="16">
        <f t="shared" si="5"/>
        <v>36</v>
      </c>
      <c r="BA97" s="16">
        <f t="shared" si="5"/>
        <v>21</v>
      </c>
      <c r="BB97" s="16">
        <f t="shared" si="5"/>
        <v>10</v>
      </c>
      <c r="BC97" s="16">
        <f t="shared" si="5"/>
        <v>0</v>
      </c>
    </row>
    <row r="98">
      <c r="A98" s="17" t="s">
        <v>404</v>
      </c>
      <c r="B98" s="17"/>
      <c r="C98" s="14" t="s">
        <v>405</v>
      </c>
      <c r="D98" s="14">
        <v>82.0</v>
      </c>
      <c r="E98" s="14"/>
      <c r="I98" s="7">
        <v>66.0</v>
      </c>
    </row>
    <row r="99">
      <c r="A99" s="17" t="s">
        <v>406</v>
      </c>
      <c r="B99" s="17"/>
      <c r="C99" s="14" t="s">
        <v>407</v>
      </c>
      <c r="D99" s="15">
        <v>113.0</v>
      </c>
      <c r="E99" s="15"/>
    </row>
    <row r="100">
      <c r="A100" s="17" t="s">
        <v>408</v>
      </c>
      <c r="B100" s="17"/>
      <c r="C100" s="14" t="s">
        <v>409</v>
      </c>
      <c r="D100" s="15" t="s">
        <v>410</v>
      </c>
      <c r="E100" s="15"/>
    </row>
    <row r="101">
      <c r="A101" s="17" t="s">
        <v>411</v>
      </c>
      <c r="B101" s="17"/>
      <c r="C101" s="14" t="s">
        <v>412</v>
      </c>
      <c r="D101" s="14">
        <v>145.0</v>
      </c>
      <c r="E101" s="14"/>
    </row>
    <row r="102">
      <c r="A102" s="18" t="s">
        <v>413</v>
      </c>
      <c r="B102" s="17"/>
      <c r="C102" s="14" t="s">
        <v>414</v>
      </c>
      <c r="D102" s="14">
        <v>95.0</v>
      </c>
      <c r="E102" s="14"/>
    </row>
    <row r="103">
      <c r="A103" s="17"/>
      <c r="B103" s="17"/>
      <c r="C103" s="13"/>
      <c r="D103" s="14"/>
      <c r="E103" s="14"/>
    </row>
    <row r="104">
      <c r="A104" s="17" t="s">
        <v>415</v>
      </c>
      <c r="B104" s="17"/>
      <c r="C104" s="14" t="s">
        <v>416</v>
      </c>
      <c r="D104" s="14">
        <v>32.0</v>
      </c>
      <c r="E104" s="14"/>
    </row>
    <row r="105">
      <c r="A105" s="17" t="s">
        <v>417</v>
      </c>
      <c r="B105" s="17"/>
      <c r="C105" s="14" t="s">
        <v>418</v>
      </c>
      <c r="D105" s="14">
        <v>28.0</v>
      </c>
      <c r="E105" s="14"/>
    </row>
    <row r="106">
      <c r="A106" s="17" t="s">
        <v>419</v>
      </c>
      <c r="B106" s="17"/>
      <c r="C106" s="14">
        <v>10.0</v>
      </c>
      <c r="D106" s="14">
        <v>10.0</v>
      </c>
      <c r="E106" s="14"/>
    </row>
    <row r="107">
      <c r="A107" s="17" t="s">
        <v>420</v>
      </c>
      <c r="B107" s="17"/>
      <c r="C107" s="14" t="s">
        <v>421</v>
      </c>
      <c r="D107" s="14">
        <v>114.0</v>
      </c>
      <c r="E107" s="14"/>
    </row>
    <row r="108">
      <c r="A108" s="17" t="s">
        <v>422</v>
      </c>
      <c r="B108" s="17"/>
      <c r="C108" s="14">
        <v>0.0</v>
      </c>
      <c r="D108" s="14">
        <v>0.0</v>
      </c>
      <c r="E108" s="14"/>
    </row>
    <row r="109">
      <c r="A109" s="17" t="s">
        <v>423</v>
      </c>
      <c r="B109" s="17"/>
      <c r="C109" s="14" t="s">
        <v>424</v>
      </c>
      <c r="D109" s="14">
        <v>22.0</v>
      </c>
      <c r="E109" s="14"/>
    </row>
    <row r="110">
      <c r="A110" s="17" t="s">
        <v>425</v>
      </c>
      <c r="B110" s="17"/>
      <c r="C110" s="14" t="s">
        <v>426</v>
      </c>
      <c r="D110" s="14">
        <v>58.0</v>
      </c>
      <c r="E110" s="14"/>
    </row>
    <row r="111">
      <c r="A111" s="17" t="s">
        <v>427</v>
      </c>
      <c r="B111" s="17"/>
      <c r="C111" s="14" t="s">
        <v>428</v>
      </c>
      <c r="D111" s="14">
        <v>55.0</v>
      </c>
      <c r="E111" s="14"/>
    </row>
    <row r="112">
      <c r="A112" s="17" t="s">
        <v>429</v>
      </c>
      <c r="B112" s="17"/>
      <c r="C112" s="14" t="s">
        <v>430</v>
      </c>
      <c r="D112" s="14">
        <v>10.0</v>
      </c>
      <c r="E112" s="14"/>
    </row>
    <row r="113">
      <c r="A113" s="18" t="s">
        <v>431</v>
      </c>
      <c r="B113" s="17"/>
      <c r="C113" s="14">
        <v>46.0</v>
      </c>
      <c r="D113" s="14">
        <v>46.0</v>
      </c>
      <c r="E113" s="14"/>
    </row>
    <row r="114">
      <c r="A114" s="17" t="s">
        <v>432</v>
      </c>
      <c r="B114" s="17"/>
      <c r="C114" s="14">
        <v>47.0</v>
      </c>
      <c r="D114" s="14">
        <v>47.0</v>
      </c>
      <c r="E114" s="14"/>
    </row>
    <row r="115">
      <c r="A115" s="14" t="s">
        <v>433</v>
      </c>
      <c r="B115" s="13"/>
      <c r="C115" s="14"/>
      <c r="D115" s="14"/>
      <c r="E115" s="14"/>
    </row>
    <row r="116">
      <c r="A116" s="17" t="s">
        <v>434</v>
      </c>
      <c r="B116" s="17"/>
      <c r="C116" s="14" t="s">
        <v>435</v>
      </c>
      <c r="D116" s="14">
        <v>21.0</v>
      </c>
      <c r="E116" s="14"/>
    </row>
    <row r="117">
      <c r="E117" s="13"/>
    </row>
    <row r="118">
      <c r="E118" s="13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tr">
        <f t="shared" ref="A1:A45" si="1"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>0</v>
      </c>
      <c r="B1" s="8" t="s">
        <v>35</v>
      </c>
      <c r="C1" s="8" t="s">
        <v>28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M1" s="8" t="s">
        <v>36</v>
      </c>
      <c r="AN1" s="8" t="s">
        <v>37</v>
      </c>
      <c r="AO1" s="6" t="s">
        <v>39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11</v>
      </c>
      <c r="BD1" s="6" t="s">
        <v>54</v>
      </c>
    </row>
    <row r="2">
      <c r="A2" s="19" t="str">
        <f t="shared" si="1"/>
        <v>1</v>
      </c>
      <c r="B2" s="20" t="s">
        <v>74</v>
      </c>
      <c r="C2" s="20" t="s">
        <v>71</v>
      </c>
      <c r="D2" s="7">
        <v>2.0</v>
      </c>
      <c r="T2" s="7" t="s">
        <v>70</v>
      </c>
      <c r="AF2" s="7" t="s">
        <v>72</v>
      </c>
      <c r="AG2" s="9" t="s">
        <v>73</v>
      </c>
      <c r="AH2" s="7" t="s">
        <v>61</v>
      </c>
      <c r="AI2" s="7" t="s">
        <v>62</v>
      </c>
      <c r="AV2" s="7">
        <v>1.0</v>
      </c>
      <c r="BB2" s="7">
        <v>1.0</v>
      </c>
    </row>
    <row r="3">
      <c r="A3" s="19" t="str">
        <f t="shared" si="1"/>
        <v>1</v>
      </c>
      <c r="B3" s="20" t="s">
        <v>74</v>
      </c>
      <c r="C3" s="20" t="s">
        <v>71</v>
      </c>
      <c r="D3" s="7">
        <v>2.0</v>
      </c>
      <c r="T3" s="7" t="s">
        <v>57</v>
      </c>
      <c r="U3" s="7">
        <v>1.0</v>
      </c>
      <c r="V3" s="7">
        <v>1.0</v>
      </c>
      <c r="AF3" s="7" t="s">
        <v>72</v>
      </c>
      <c r="AG3" s="9" t="s">
        <v>73</v>
      </c>
      <c r="AH3" s="7" t="s">
        <v>61</v>
      </c>
      <c r="AI3" s="7" t="s">
        <v>62</v>
      </c>
    </row>
    <row r="4">
      <c r="A4" s="19" t="str">
        <f t="shared" si="1"/>
        <v>1</v>
      </c>
      <c r="B4" s="20" t="s">
        <v>74</v>
      </c>
      <c r="C4" s="20" t="s">
        <v>90</v>
      </c>
      <c r="AF4" s="7" t="s">
        <v>91</v>
      </c>
      <c r="AG4" s="9" t="s">
        <v>92</v>
      </c>
      <c r="AH4" s="7" t="s">
        <v>61</v>
      </c>
      <c r="AI4" s="7" t="s">
        <v>62</v>
      </c>
      <c r="AP4" s="7">
        <v>1.0</v>
      </c>
    </row>
    <row r="5">
      <c r="A5" s="19" t="str">
        <f t="shared" si="1"/>
        <v>1</v>
      </c>
      <c r="B5" s="20" t="s">
        <v>74</v>
      </c>
      <c r="C5" s="20" t="s">
        <v>97</v>
      </c>
      <c r="AF5" s="7" t="s">
        <v>98</v>
      </c>
      <c r="AG5" s="9" t="s">
        <v>99</v>
      </c>
      <c r="AH5" s="7" t="s">
        <v>61</v>
      </c>
      <c r="AI5" s="7" t="s">
        <v>62</v>
      </c>
      <c r="AR5" s="7">
        <v>2.0</v>
      </c>
    </row>
    <row r="6">
      <c r="A6" s="19" t="str">
        <f t="shared" si="1"/>
        <v>1</v>
      </c>
      <c r="B6" s="20" t="s">
        <v>74</v>
      </c>
      <c r="C6" s="20" t="s">
        <v>105</v>
      </c>
      <c r="D6" s="7">
        <v>2.0</v>
      </c>
      <c r="J6" s="7">
        <v>6.0</v>
      </c>
      <c r="T6" s="7" t="s">
        <v>57</v>
      </c>
      <c r="U6" s="7">
        <v>3.0</v>
      </c>
      <c r="V6" s="7">
        <v>3.0</v>
      </c>
      <c r="AF6" s="7" t="s">
        <v>106</v>
      </c>
      <c r="AG6" s="9" t="s">
        <v>107</v>
      </c>
      <c r="AH6" s="7" t="s">
        <v>61</v>
      </c>
      <c r="AI6" s="7" t="s">
        <v>62</v>
      </c>
      <c r="AJ6" s="7" t="s">
        <v>108</v>
      </c>
      <c r="AS6" s="7">
        <v>7.0</v>
      </c>
      <c r="AU6" s="7">
        <v>1.0</v>
      </c>
      <c r="AV6" s="7">
        <v>10.0</v>
      </c>
      <c r="AW6" s="7">
        <v>5.0</v>
      </c>
      <c r="AY6" s="7">
        <v>10.0</v>
      </c>
      <c r="AZ6" s="7">
        <v>10.0</v>
      </c>
      <c r="BB6" s="7">
        <v>1.0</v>
      </c>
    </row>
    <row r="7">
      <c r="A7" s="19" t="str">
        <f t="shared" si="1"/>
        <v>1</v>
      </c>
      <c r="B7" s="20" t="s">
        <v>74</v>
      </c>
      <c r="C7" s="20" t="s">
        <v>120</v>
      </c>
      <c r="G7" s="7">
        <v>1.0</v>
      </c>
      <c r="H7" s="7" t="s">
        <v>119</v>
      </c>
      <c r="T7" s="7" t="s">
        <v>70</v>
      </c>
      <c r="AF7" s="7" t="s">
        <v>121</v>
      </c>
      <c r="AG7" s="9" t="s">
        <v>122</v>
      </c>
      <c r="AH7" s="7" t="s">
        <v>61</v>
      </c>
      <c r="AI7" s="7" t="s">
        <v>62</v>
      </c>
      <c r="AY7" s="7">
        <v>2.0</v>
      </c>
      <c r="AZ7" s="7">
        <v>2.0</v>
      </c>
    </row>
    <row r="8">
      <c r="A8" s="19" t="str">
        <f t="shared" si="1"/>
        <v>1</v>
      </c>
      <c r="B8" s="20" t="s">
        <v>74</v>
      </c>
      <c r="C8" s="20" t="s">
        <v>138</v>
      </c>
      <c r="E8" s="7">
        <v>1.0</v>
      </c>
      <c r="F8" s="7" t="s">
        <v>137</v>
      </c>
      <c r="T8" s="7" t="s">
        <v>57</v>
      </c>
      <c r="U8" s="7">
        <v>1.0</v>
      </c>
      <c r="AF8" s="7" t="s">
        <v>139</v>
      </c>
      <c r="AG8" s="9" t="s">
        <v>140</v>
      </c>
      <c r="AH8" s="7" t="s">
        <v>67</v>
      </c>
      <c r="AI8" s="7" t="s">
        <v>62</v>
      </c>
    </row>
    <row r="9">
      <c r="A9" s="19" t="str">
        <f t="shared" si="1"/>
        <v>1</v>
      </c>
      <c r="B9" s="20" t="s">
        <v>74</v>
      </c>
      <c r="C9" s="20" t="s">
        <v>146</v>
      </c>
      <c r="D9" s="7">
        <v>1.0</v>
      </c>
      <c r="E9" s="7">
        <v>1.0</v>
      </c>
      <c r="F9" s="7" t="s">
        <v>145</v>
      </c>
      <c r="T9" s="7" t="s">
        <v>57</v>
      </c>
      <c r="V9" s="7">
        <v>2.0</v>
      </c>
      <c r="AF9" s="7" t="s">
        <v>147</v>
      </c>
      <c r="AG9" s="9" t="s">
        <v>148</v>
      </c>
      <c r="AH9" s="7" t="s">
        <v>61</v>
      </c>
      <c r="AI9" s="7" t="s">
        <v>62</v>
      </c>
      <c r="AT9" s="7">
        <v>1.0</v>
      </c>
      <c r="AV9" s="7">
        <v>2.0</v>
      </c>
      <c r="BA9" s="7">
        <v>2.0</v>
      </c>
    </row>
    <row r="10">
      <c r="A10" s="19" t="str">
        <f t="shared" si="1"/>
        <v>1</v>
      </c>
      <c r="B10" s="20" t="s">
        <v>74</v>
      </c>
      <c r="C10" s="20" t="s">
        <v>184</v>
      </c>
      <c r="D10" s="7">
        <v>2.0</v>
      </c>
      <c r="T10" s="7" t="s">
        <v>57</v>
      </c>
      <c r="V10" s="7">
        <v>2.0</v>
      </c>
      <c r="AF10" s="7" t="s">
        <v>185</v>
      </c>
      <c r="AG10" s="9" t="s">
        <v>186</v>
      </c>
      <c r="AH10" s="7" t="s">
        <v>67</v>
      </c>
      <c r="AI10" s="7" t="s">
        <v>62</v>
      </c>
      <c r="AY10" s="7">
        <v>2.0</v>
      </c>
      <c r="AZ10" s="7">
        <v>2.0</v>
      </c>
    </row>
    <row r="11">
      <c r="A11" s="19" t="str">
        <f t="shared" si="1"/>
        <v>1</v>
      </c>
      <c r="B11" s="20" t="s">
        <v>74</v>
      </c>
      <c r="C11" s="20" t="s">
        <v>191</v>
      </c>
      <c r="D11" s="7">
        <v>1.0</v>
      </c>
      <c r="E11" s="7">
        <v>1.0</v>
      </c>
      <c r="F11" s="7" t="s">
        <v>145</v>
      </c>
      <c r="H11" s="7"/>
      <c r="T11" s="7" t="s">
        <v>57</v>
      </c>
      <c r="V11" s="7">
        <v>1.0</v>
      </c>
      <c r="AF11" s="7" t="s">
        <v>192</v>
      </c>
      <c r="AG11" s="9" t="s">
        <v>193</v>
      </c>
      <c r="AH11" s="7" t="s">
        <v>61</v>
      </c>
      <c r="AI11" s="7" t="s">
        <v>62</v>
      </c>
      <c r="AY11" s="7">
        <v>1.0</v>
      </c>
    </row>
    <row r="12">
      <c r="A12" s="19" t="str">
        <f t="shared" si="1"/>
        <v>1</v>
      </c>
      <c r="B12" s="20" t="s">
        <v>74</v>
      </c>
      <c r="C12" s="20" t="s">
        <v>90</v>
      </c>
      <c r="W12" s="7">
        <v>2.0</v>
      </c>
      <c r="AA12" s="7">
        <v>1.0</v>
      </c>
      <c r="AF12" s="7" t="s">
        <v>91</v>
      </c>
      <c r="AG12" s="9" t="s">
        <v>92</v>
      </c>
      <c r="AH12" s="7" t="s">
        <v>61</v>
      </c>
      <c r="AI12" s="7" t="s">
        <v>62</v>
      </c>
    </row>
    <row r="13">
      <c r="A13" s="19" t="str">
        <f t="shared" si="1"/>
        <v>1</v>
      </c>
      <c r="B13" s="20" t="s">
        <v>74</v>
      </c>
      <c r="C13" s="20" t="s">
        <v>240</v>
      </c>
      <c r="AF13" s="7" t="s">
        <v>241</v>
      </c>
      <c r="AG13" s="9" t="s">
        <v>242</v>
      </c>
      <c r="AH13" s="7" t="s">
        <v>103</v>
      </c>
      <c r="AI13" s="7" t="s">
        <v>62</v>
      </c>
      <c r="AQ13" s="7">
        <v>1.0</v>
      </c>
      <c r="AR13" s="7">
        <v>1.0</v>
      </c>
    </row>
    <row r="14">
      <c r="A14" s="19" t="str">
        <f t="shared" si="1"/>
        <v>1</v>
      </c>
      <c r="B14" s="20" t="s">
        <v>74</v>
      </c>
      <c r="C14" s="20" t="s">
        <v>255</v>
      </c>
      <c r="E14" s="7">
        <v>1.0</v>
      </c>
      <c r="F14" s="7" t="s">
        <v>254</v>
      </c>
      <c r="T14" s="7" t="s">
        <v>57</v>
      </c>
      <c r="V14" s="7">
        <v>1.0</v>
      </c>
      <c r="AF14" s="7" t="s">
        <v>256</v>
      </c>
      <c r="AG14" s="9" t="s">
        <v>257</v>
      </c>
      <c r="AH14" s="7" t="s">
        <v>103</v>
      </c>
      <c r="AI14" s="7" t="s">
        <v>62</v>
      </c>
      <c r="AJ14" s="7" t="s">
        <v>258</v>
      </c>
    </row>
    <row r="15">
      <c r="A15" s="19" t="str">
        <f t="shared" si="1"/>
        <v>1</v>
      </c>
      <c r="B15" s="20" t="s">
        <v>74</v>
      </c>
      <c r="C15" s="20" t="s">
        <v>268</v>
      </c>
      <c r="E15" s="7">
        <v>1.0</v>
      </c>
      <c r="F15" s="7" t="s">
        <v>267</v>
      </c>
      <c r="T15" s="7" t="s">
        <v>57</v>
      </c>
      <c r="V15" s="7">
        <v>1.0</v>
      </c>
      <c r="AF15" s="7" t="s">
        <v>269</v>
      </c>
      <c r="AG15" s="9" t="s">
        <v>270</v>
      </c>
      <c r="AH15" s="7" t="s">
        <v>103</v>
      </c>
      <c r="AI15" s="7" t="s">
        <v>68</v>
      </c>
      <c r="AK15" s="7">
        <v>13247.0</v>
      </c>
      <c r="AY15" s="7">
        <v>3.0</v>
      </c>
      <c r="AZ15" s="7">
        <v>2.0</v>
      </c>
    </row>
    <row r="16">
      <c r="A16" s="19" t="str">
        <f t="shared" si="1"/>
        <v>1</v>
      </c>
      <c r="B16" s="20" t="s">
        <v>74</v>
      </c>
      <c r="C16" s="20" t="s">
        <v>271</v>
      </c>
      <c r="E16" s="7">
        <v>1.0</v>
      </c>
      <c r="F16" s="7" t="s">
        <v>119</v>
      </c>
      <c r="T16" s="7" t="s">
        <v>70</v>
      </c>
      <c r="AF16" s="7" t="s">
        <v>272</v>
      </c>
      <c r="AG16" s="9" t="s">
        <v>273</v>
      </c>
      <c r="AH16" s="7" t="s">
        <v>61</v>
      </c>
      <c r="AI16" s="7" t="s">
        <v>62</v>
      </c>
    </row>
    <row r="17">
      <c r="A17" s="19" t="str">
        <f t="shared" si="1"/>
        <v>1</v>
      </c>
      <c r="B17" s="20" t="s">
        <v>74</v>
      </c>
      <c r="C17" s="20" t="s">
        <v>274</v>
      </c>
      <c r="E17" s="7">
        <v>1.0</v>
      </c>
      <c r="F17" s="7" t="s">
        <v>119</v>
      </c>
      <c r="T17" s="7" t="s">
        <v>57</v>
      </c>
      <c r="V17" s="7">
        <v>1.0</v>
      </c>
      <c r="AF17" s="7" t="s">
        <v>275</v>
      </c>
      <c r="AG17" s="9" t="s">
        <v>276</v>
      </c>
      <c r="AH17" s="7" t="s">
        <v>61</v>
      </c>
      <c r="AI17" s="7" t="s">
        <v>62</v>
      </c>
      <c r="AZ17" s="7">
        <v>2.0</v>
      </c>
    </row>
    <row r="18">
      <c r="A18" s="19" t="str">
        <f t="shared" si="1"/>
        <v>1</v>
      </c>
      <c r="B18" s="20" t="s">
        <v>74</v>
      </c>
      <c r="C18" s="20" t="s">
        <v>278</v>
      </c>
      <c r="E18" s="7">
        <v>1.0</v>
      </c>
      <c r="F18" s="7" t="s">
        <v>277</v>
      </c>
      <c r="T18" s="7" t="s">
        <v>70</v>
      </c>
      <c r="AF18" s="7" t="s">
        <v>279</v>
      </c>
      <c r="AG18" s="9" t="s">
        <v>280</v>
      </c>
      <c r="AH18" s="7" t="s">
        <v>103</v>
      </c>
      <c r="AI18" s="7" t="s">
        <v>62</v>
      </c>
      <c r="AZ18" s="7">
        <v>1.0</v>
      </c>
    </row>
    <row r="19">
      <c r="A19" s="19" t="str">
        <f t="shared" si="1"/>
        <v>1</v>
      </c>
      <c r="B19" s="20" t="s">
        <v>74</v>
      </c>
      <c r="C19" s="20" t="s">
        <v>271</v>
      </c>
      <c r="AA19" s="7">
        <v>3.0</v>
      </c>
      <c r="AF19" s="7" t="s">
        <v>272</v>
      </c>
      <c r="AG19" s="9" t="s">
        <v>273</v>
      </c>
      <c r="AH19" s="7" t="s">
        <v>61</v>
      </c>
      <c r="AI19" s="7" t="s">
        <v>62</v>
      </c>
      <c r="AQ19" s="7">
        <v>1.0</v>
      </c>
      <c r="AR19" s="7">
        <v>1.0</v>
      </c>
    </row>
    <row r="20">
      <c r="A20" s="19" t="str">
        <f t="shared" si="1"/>
        <v>1</v>
      </c>
      <c r="B20" s="20" t="s">
        <v>74</v>
      </c>
      <c r="C20" s="20" t="s">
        <v>285</v>
      </c>
      <c r="D20" s="7">
        <v>1.0</v>
      </c>
      <c r="T20" s="7" t="s">
        <v>57</v>
      </c>
      <c r="U20" s="7">
        <v>1.0</v>
      </c>
      <c r="V20" s="7">
        <v>1.0</v>
      </c>
      <c r="AF20" s="7" t="s">
        <v>286</v>
      </c>
      <c r="AG20" s="9" t="s">
        <v>287</v>
      </c>
      <c r="AH20" s="7" t="s">
        <v>61</v>
      </c>
      <c r="AI20" s="7" t="s">
        <v>62</v>
      </c>
    </row>
    <row r="21">
      <c r="A21" s="19" t="str">
        <f t="shared" si="1"/>
        <v>1</v>
      </c>
      <c r="B21" s="20" t="s">
        <v>74</v>
      </c>
      <c r="C21" s="20" t="s">
        <v>289</v>
      </c>
      <c r="E21" s="7">
        <v>1.0</v>
      </c>
      <c r="F21" s="7" t="s">
        <v>288</v>
      </c>
      <c r="T21" s="7" t="s">
        <v>57</v>
      </c>
      <c r="U21" s="7">
        <v>1.0</v>
      </c>
      <c r="V21" s="7">
        <v>1.0</v>
      </c>
      <c r="AF21" s="7" t="s">
        <v>290</v>
      </c>
      <c r="AG21" s="9" t="s">
        <v>291</v>
      </c>
      <c r="AH21" s="7" t="s">
        <v>61</v>
      </c>
      <c r="AI21" s="7" t="s">
        <v>62</v>
      </c>
      <c r="AJ21" s="7" t="s">
        <v>292</v>
      </c>
      <c r="AV21" s="7">
        <v>1.0</v>
      </c>
    </row>
    <row r="22">
      <c r="A22" s="19" t="str">
        <f t="shared" si="1"/>
        <v>1</v>
      </c>
      <c r="B22" s="20" t="s">
        <v>74</v>
      </c>
      <c r="C22" s="20" t="s">
        <v>294</v>
      </c>
      <c r="AF22" s="7" t="s">
        <v>295</v>
      </c>
      <c r="AG22" s="9" t="s">
        <v>296</v>
      </c>
      <c r="AH22" s="7" t="s">
        <v>103</v>
      </c>
      <c r="AI22" s="7" t="s">
        <v>62</v>
      </c>
      <c r="AQ22" s="7">
        <v>1.0</v>
      </c>
    </row>
    <row r="23">
      <c r="A23" s="19" t="str">
        <f t="shared" si="1"/>
        <v>1</v>
      </c>
      <c r="B23" s="20" t="s">
        <v>74</v>
      </c>
      <c r="C23" s="20" t="s">
        <v>297</v>
      </c>
      <c r="AA23" s="7">
        <v>1.0</v>
      </c>
      <c r="AF23" s="7" t="s">
        <v>298</v>
      </c>
      <c r="AG23" s="9" t="s">
        <v>299</v>
      </c>
      <c r="AH23" s="7" t="s">
        <v>103</v>
      </c>
      <c r="AI23" s="7" t="s">
        <v>68</v>
      </c>
      <c r="AK23" s="7">
        <v>20779.0</v>
      </c>
      <c r="AQ23" s="7">
        <v>1.0</v>
      </c>
      <c r="AR23" s="7">
        <v>1.0</v>
      </c>
    </row>
    <row r="24">
      <c r="A24" s="19" t="str">
        <f t="shared" si="1"/>
        <v>1</v>
      </c>
      <c r="B24" s="20" t="s">
        <v>74</v>
      </c>
      <c r="C24" s="20" t="s">
        <v>300</v>
      </c>
      <c r="X24" s="7">
        <v>1.0</v>
      </c>
      <c r="AF24" s="7" t="s">
        <v>301</v>
      </c>
      <c r="AG24" s="9" t="s">
        <v>302</v>
      </c>
      <c r="AH24" s="7" t="s">
        <v>67</v>
      </c>
      <c r="AI24" s="7" t="s">
        <v>62</v>
      </c>
      <c r="AP24" s="7">
        <v>3.0</v>
      </c>
    </row>
    <row r="25">
      <c r="A25" s="19" t="str">
        <f t="shared" si="1"/>
        <v>1</v>
      </c>
      <c r="B25" s="20" t="s">
        <v>74</v>
      </c>
      <c r="C25" s="20" t="s">
        <v>317</v>
      </c>
      <c r="Y25" s="7">
        <v>2.0</v>
      </c>
      <c r="AF25" s="7" t="s">
        <v>318</v>
      </c>
      <c r="AG25" s="9" t="s">
        <v>319</v>
      </c>
      <c r="AH25" s="7" t="s">
        <v>61</v>
      </c>
      <c r="AI25" s="7" t="s">
        <v>62</v>
      </c>
      <c r="AQ25" s="7">
        <v>3.0</v>
      </c>
      <c r="AR25" s="7">
        <v>3.0</v>
      </c>
    </row>
    <row r="26">
      <c r="A26" s="19" t="str">
        <f t="shared" si="1"/>
        <v>1</v>
      </c>
      <c r="B26" s="20" t="s">
        <v>74</v>
      </c>
      <c r="C26" s="20" t="s">
        <v>362</v>
      </c>
      <c r="D26" s="7">
        <v>2.0</v>
      </c>
      <c r="E26" s="7">
        <v>1.0</v>
      </c>
      <c r="F26" s="7" t="s">
        <v>361</v>
      </c>
      <c r="G26" s="7">
        <v>1.0</v>
      </c>
      <c r="H26" s="7" t="s">
        <v>361</v>
      </c>
      <c r="T26" s="7" t="s">
        <v>70</v>
      </c>
      <c r="AF26" s="7" t="s">
        <v>359</v>
      </c>
      <c r="AG26" s="9" t="s">
        <v>360</v>
      </c>
      <c r="AH26" s="7" t="s">
        <v>61</v>
      </c>
      <c r="AI26" s="7" t="s">
        <v>62</v>
      </c>
      <c r="AJ26" s="7" t="s">
        <v>363</v>
      </c>
    </row>
    <row r="27">
      <c r="A27" s="19" t="str">
        <f t="shared" si="1"/>
        <v>1</v>
      </c>
      <c r="B27" s="20" t="s">
        <v>74</v>
      </c>
      <c r="C27" s="20" t="s">
        <v>371</v>
      </c>
      <c r="E27" s="7">
        <v>4.0</v>
      </c>
      <c r="F27" s="7" t="s">
        <v>370</v>
      </c>
      <c r="J27" s="7">
        <v>4.0</v>
      </c>
      <c r="T27" s="7" t="s">
        <v>70</v>
      </c>
      <c r="AF27" s="7" t="s">
        <v>359</v>
      </c>
      <c r="AG27" s="9" t="s">
        <v>360</v>
      </c>
      <c r="AH27" s="7" t="s">
        <v>61</v>
      </c>
      <c r="AI27" s="7" t="s">
        <v>62</v>
      </c>
      <c r="AV27" s="7">
        <v>12.0</v>
      </c>
      <c r="AY27" s="7">
        <v>14.0</v>
      </c>
      <c r="AZ27" s="7">
        <v>8.0</v>
      </c>
      <c r="BA27" s="7">
        <v>13.0</v>
      </c>
    </row>
    <row r="28">
      <c r="A28" s="21" t="str">
        <f t="shared" si="1"/>
        <v>2</v>
      </c>
      <c r="B28" s="22" t="s">
        <v>63</v>
      </c>
      <c r="C28" s="22" t="s">
        <v>58</v>
      </c>
      <c r="E28" s="7">
        <v>1.0</v>
      </c>
      <c r="F28" s="7" t="s">
        <v>56</v>
      </c>
      <c r="M28" s="7">
        <v>1.0</v>
      </c>
      <c r="T28" s="7" t="s">
        <v>57</v>
      </c>
      <c r="AF28" s="7" t="s">
        <v>59</v>
      </c>
      <c r="AG28" s="9" t="s">
        <v>60</v>
      </c>
      <c r="AH28" s="7" t="s">
        <v>61</v>
      </c>
      <c r="AI28" s="7" t="s">
        <v>62</v>
      </c>
      <c r="AT28" s="7">
        <v>1.0</v>
      </c>
    </row>
    <row r="29">
      <c r="A29" s="21" t="str">
        <f t="shared" si="1"/>
        <v>2</v>
      </c>
      <c r="B29" s="22" t="s">
        <v>63</v>
      </c>
      <c r="C29" s="22" t="s">
        <v>76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F29" s="7" t="s">
        <v>77</v>
      </c>
      <c r="AG29" s="9" t="s">
        <v>78</v>
      </c>
      <c r="AH29" s="7" t="s">
        <v>67</v>
      </c>
      <c r="AI29" s="7" t="s">
        <v>62</v>
      </c>
      <c r="AP29" s="7">
        <v>0.0</v>
      </c>
      <c r="AQ29" s="7">
        <v>1.0</v>
      </c>
      <c r="AR29" s="7">
        <v>1.0</v>
      </c>
    </row>
    <row r="30">
      <c r="A30" s="21" t="str">
        <f t="shared" si="1"/>
        <v>2</v>
      </c>
      <c r="B30" s="22" t="s">
        <v>63</v>
      </c>
      <c r="C30" s="22" t="s">
        <v>109</v>
      </c>
      <c r="I30" s="7">
        <v>1.0</v>
      </c>
      <c r="T30" s="7" t="s">
        <v>57</v>
      </c>
      <c r="U30" s="7">
        <v>1.0</v>
      </c>
      <c r="AF30" s="7" t="s">
        <v>110</v>
      </c>
      <c r="AG30" s="9" t="s">
        <v>111</v>
      </c>
      <c r="AH30" s="7" t="s">
        <v>67</v>
      </c>
      <c r="AI30" s="7" t="s">
        <v>62</v>
      </c>
    </row>
    <row r="31">
      <c r="A31" s="21" t="str">
        <f t="shared" si="1"/>
        <v>2</v>
      </c>
      <c r="B31" s="22" t="s">
        <v>63</v>
      </c>
      <c r="C31" s="22" t="s">
        <v>116</v>
      </c>
      <c r="AF31" s="7" t="s">
        <v>117</v>
      </c>
      <c r="AG31" s="9" t="s">
        <v>118</v>
      </c>
      <c r="AH31" s="7" t="s">
        <v>67</v>
      </c>
      <c r="AI31" s="7" t="s">
        <v>62</v>
      </c>
      <c r="AR31" s="7">
        <v>1.0</v>
      </c>
    </row>
    <row r="32">
      <c r="A32" s="21" t="str">
        <f t="shared" si="1"/>
        <v>2</v>
      </c>
      <c r="B32" s="22" t="s">
        <v>63</v>
      </c>
      <c r="C32" s="22" t="s">
        <v>149</v>
      </c>
      <c r="AA32" s="7">
        <v>3.0</v>
      </c>
      <c r="AF32" s="7" t="s">
        <v>150</v>
      </c>
      <c r="AG32" s="9" t="s">
        <v>151</v>
      </c>
      <c r="AH32" s="7" t="s">
        <v>67</v>
      </c>
      <c r="AI32" s="7" t="s">
        <v>62</v>
      </c>
      <c r="AP32" s="7">
        <v>1.0</v>
      </c>
      <c r="AQ32" s="7">
        <v>1.0</v>
      </c>
      <c r="AR32" s="7">
        <v>1.0</v>
      </c>
    </row>
    <row r="33">
      <c r="A33" s="21" t="str">
        <f t="shared" si="1"/>
        <v>2</v>
      </c>
      <c r="B33" s="22" t="s">
        <v>63</v>
      </c>
      <c r="C33" s="22" t="s">
        <v>116</v>
      </c>
      <c r="D33" s="7">
        <v>1.0</v>
      </c>
      <c r="T33" s="7" t="s">
        <v>57</v>
      </c>
      <c r="U33" s="7">
        <v>1.0</v>
      </c>
      <c r="V33" s="7">
        <v>1.0</v>
      </c>
      <c r="AF33" s="7" t="s">
        <v>117</v>
      </c>
      <c r="AG33" s="9" t="s">
        <v>118</v>
      </c>
      <c r="AH33" s="7" t="s">
        <v>67</v>
      </c>
      <c r="AI33" s="7" t="s">
        <v>62</v>
      </c>
    </row>
    <row r="34">
      <c r="A34" s="21" t="str">
        <f t="shared" si="1"/>
        <v>2</v>
      </c>
      <c r="B34" s="22" t="s">
        <v>63</v>
      </c>
      <c r="C34" s="22" t="s">
        <v>152</v>
      </c>
      <c r="AF34" s="7" t="s">
        <v>153</v>
      </c>
      <c r="AG34" s="9" t="s">
        <v>154</v>
      </c>
      <c r="AH34" s="7" t="s">
        <v>61</v>
      </c>
      <c r="AI34" s="7" t="s">
        <v>62</v>
      </c>
      <c r="AQ34" s="7">
        <v>1.0</v>
      </c>
    </row>
    <row r="35">
      <c r="A35" s="21" t="str">
        <f t="shared" si="1"/>
        <v>2</v>
      </c>
      <c r="B35" s="22" t="s">
        <v>63</v>
      </c>
      <c r="C35" s="22" t="s">
        <v>155</v>
      </c>
      <c r="I35" s="7">
        <v>1.0</v>
      </c>
      <c r="T35" s="7" t="s">
        <v>57</v>
      </c>
      <c r="V35" s="7">
        <v>1.0</v>
      </c>
      <c r="AF35" s="7" t="s">
        <v>156</v>
      </c>
      <c r="AG35" s="9" t="s">
        <v>157</v>
      </c>
      <c r="AH35" s="7" t="s">
        <v>67</v>
      </c>
      <c r="AI35" s="7" t="s">
        <v>62</v>
      </c>
      <c r="AJ35" s="7" t="s">
        <v>158</v>
      </c>
      <c r="AX35" s="7">
        <v>2.0</v>
      </c>
      <c r="BA35" s="7">
        <v>2.0</v>
      </c>
    </row>
    <row r="36">
      <c r="A36" s="21" t="str">
        <f t="shared" si="1"/>
        <v>2</v>
      </c>
      <c r="B36" s="22" t="s">
        <v>63</v>
      </c>
      <c r="C36" s="22" t="s">
        <v>164</v>
      </c>
      <c r="AF36" s="7" t="s">
        <v>165</v>
      </c>
      <c r="AG36" s="9" t="s">
        <v>166</v>
      </c>
      <c r="AH36" s="7" t="s">
        <v>67</v>
      </c>
      <c r="AI36" s="7" t="s">
        <v>62</v>
      </c>
      <c r="AQ36" s="7">
        <v>1.0</v>
      </c>
    </row>
    <row r="37">
      <c r="A37" s="21" t="str">
        <f t="shared" si="1"/>
        <v>2</v>
      </c>
      <c r="B37" s="22" t="s">
        <v>63</v>
      </c>
      <c r="C37" s="22" t="s">
        <v>181</v>
      </c>
      <c r="Y37" s="7">
        <v>1.0</v>
      </c>
      <c r="Z37" s="7">
        <v>1.0</v>
      </c>
      <c r="AF37" s="7" t="s">
        <v>182</v>
      </c>
      <c r="AG37" s="9" t="s">
        <v>183</v>
      </c>
      <c r="AH37" s="7" t="s">
        <v>67</v>
      </c>
      <c r="AI37" s="7" t="s">
        <v>62</v>
      </c>
    </row>
    <row r="38">
      <c r="A38" s="21" t="str">
        <f t="shared" si="1"/>
        <v>2</v>
      </c>
      <c r="B38" s="22" t="s">
        <v>63</v>
      </c>
      <c r="C38" s="22" t="s">
        <v>236</v>
      </c>
      <c r="Y38" s="7">
        <v>1.0</v>
      </c>
      <c r="AF38" s="7" t="s">
        <v>237</v>
      </c>
      <c r="AG38" s="9" t="s">
        <v>238</v>
      </c>
      <c r="AH38" s="7" t="s">
        <v>103</v>
      </c>
      <c r="AI38" s="7" t="s">
        <v>68</v>
      </c>
      <c r="AK38" s="7" t="s">
        <v>239</v>
      </c>
      <c r="AQ38" s="7">
        <v>1.0</v>
      </c>
      <c r="AR38" s="7">
        <v>1.0</v>
      </c>
    </row>
    <row r="39">
      <c r="A39" s="21" t="str">
        <f t="shared" si="1"/>
        <v>2</v>
      </c>
      <c r="B39" s="22" t="s">
        <v>63</v>
      </c>
      <c r="C39" s="22" t="s">
        <v>243</v>
      </c>
      <c r="G39" s="7">
        <v>1.0</v>
      </c>
      <c r="H39" s="7" t="s">
        <v>56</v>
      </c>
      <c r="T39" s="7" t="s">
        <v>70</v>
      </c>
      <c r="AF39" s="7" t="s">
        <v>244</v>
      </c>
      <c r="AG39" s="9" t="s">
        <v>245</v>
      </c>
      <c r="AH39" s="7" t="s">
        <v>61</v>
      </c>
      <c r="AI39" s="7" t="s">
        <v>62</v>
      </c>
    </row>
    <row r="40">
      <c r="A40" s="21" t="str">
        <f t="shared" si="1"/>
        <v>2</v>
      </c>
      <c r="B40" s="22" t="s">
        <v>63</v>
      </c>
      <c r="C40" s="22" t="s">
        <v>263</v>
      </c>
      <c r="D40" s="7">
        <v>1.0</v>
      </c>
      <c r="T40" s="7" t="s">
        <v>57</v>
      </c>
      <c r="U40" s="7">
        <v>1.0</v>
      </c>
      <c r="V40" s="7">
        <v>1.0</v>
      </c>
      <c r="AF40" s="7" t="s">
        <v>260</v>
      </c>
      <c r="AG40" s="9" t="s">
        <v>261</v>
      </c>
      <c r="AH40" s="7" t="s">
        <v>61</v>
      </c>
      <c r="AI40" s="7" t="s">
        <v>68</v>
      </c>
      <c r="AK40" s="7">
        <v>31637.0</v>
      </c>
      <c r="AY40" s="7">
        <v>7.0</v>
      </c>
      <c r="AZ40" s="7">
        <v>7.0</v>
      </c>
    </row>
    <row r="41">
      <c r="A41" s="21" t="str">
        <f t="shared" si="1"/>
        <v>2</v>
      </c>
      <c r="B41" s="22" t="s">
        <v>63</v>
      </c>
      <c r="C41" s="22" t="s">
        <v>320</v>
      </c>
      <c r="AF41" s="7" t="s">
        <v>321</v>
      </c>
      <c r="AG41" s="9" t="s">
        <v>322</v>
      </c>
      <c r="AH41" s="7" t="s">
        <v>67</v>
      </c>
      <c r="AI41" s="7" t="s">
        <v>62</v>
      </c>
      <c r="AR41" s="7">
        <v>1.0</v>
      </c>
    </row>
    <row r="42">
      <c r="A42" s="21" t="str">
        <f t="shared" si="1"/>
        <v>2</v>
      </c>
      <c r="B42" s="22" t="s">
        <v>63</v>
      </c>
      <c r="C42" s="22" t="s">
        <v>334</v>
      </c>
      <c r="E42" s="7">
        <v>2.0</v>
      </c>
      <c r="F42" s="7" t="s">
        <v>333</v>
      </c>
      <c r="T42" s="7" t="s">
        <v>57</v>
      </c>
      <c r="U42" s="7">
        <v>1.0</v>
      </c>
      <c r="V42" s="7">
        <v>1.0</v>
      </c>
      <c r="AF42" s="7" t="s">
        <v>335</v>
      </c>
      <c r="AG42" s="9" t="s">
        <v>336</v>
      </c>
      <c r="AH42" s="7" t="s">
        <v>67</v>
      </c>
      <c r="AI42" s="7" t="s">
        <v>68</v>
      </c>
      <c r="AJ42" s="7" t="s">
        <v>337</v>
      </c>
      <c r="AK42" s="7">
        <v>34240.0</v>
      </c>
      <c r="AS42" s="7">
        <v>1.0</v>
      </c>
      <c r="AU42" s="7">
        <v>1.0</v>
      </c>
      <c r="AV42" s="7">
        <v>1.0</v>
      </c>
    </row>
    <row r="43">
      <c r="A43" s="21" t="str">
        <f t="shared" si="1"/>
        <v>2</v>
      </c>
      <c r="B43" s="22" t="s">
        <v>63</v>
      </c>
      <c r="C43" s="22" t="s">
        <v>347</v>
      </c>
      <c r="AA43" s="7">
        <v>1.0</v>
      </c>
      <c r="AF43" s="7" t="s">
        <v>348</v>
      </c>
      <c r="AG43" s="9" t="s">
        <v>349</v>
      </c>
      <c r="AH43" s="7" t="s">
        <v>61</v>
      </c>
      <c r="AI43" s="7" t="s">
        <v>62</v>
      </c>
    </row>
    <row r="44">
      <c r="A44" s="21" t="str">
        <f t="shared" si="1"/>
        <v>2</v>
      </c>
      <c r="B44" s="22" t="s">
        <v>63</v>
      </c>
      <c r="C44" s="22" t="s">
        <v>351</v>
      </c>
      <c r="D44" s="7">
        <v>5.0</v>
      </c>
      <c r="E44" s="7">
        <v>2.0</v>
      </c>
      <c r="F44" s="7" t="s">
        <v>350</v>
      </c>
      <c r="I44" s="7">
        <v>1.0</v>
      </c>
      <c r="J44" s="7">
        <v>1.0</v>
      </c>
      <c r="T44" s="7" t="s">
        <v>70</v>
      </c>
      <c r="AF44" s="7" t="s">
        <v>352</v>
      </c>
      <c r="AG44" s="9" t="s">
        <v>353</v>
      </c>
      <c r="AH44" s="7" t="s">
        <v>67</v>
      </c>
      <c r="AI44" s="7" t="s">
        <v>62</v>
      </c>
      <c r="AT44" s="7">
        <v>6.0</v>
      </c>
      <c r="AU44" s="7">
        <v>1.0</v>
      </c>
      <c r="AV44" s="7">
        <v>5.0</v>
      </c>
      <c r="AY44" s="7">
        <v>2.0</v>
      </c>
      <c r="AZ44" s="7">
        <v>2.0</v>
      </c>
    </row>
    <row r="45">
      <c r="A45" s="21" t="str">
        <f t="shared" si="1"/>
        <v>2</v>
      </c>
      <c r="B45" s="22" t="s">
        <v>63</v>
      </c>
      <c r="C45" s="22" t="s">
        <v>381</v>
      </c>
      <c r="E45" s="7">
        <v>1.0</v>
      </c>
      <c r="F45" s="7" t="s">
        <v>56</v>
      </c>
      <c r="J45" s="7">
        <v>1.0</v>
      </c>
      <c r="T45" s="7" t="s">
        <v>70</v>
      </c>
      <c r="AF45" s="7" t="s">
        <v>382</v>
      </c>
      <c r="AG45" s="9" t="s">
        <v>383</v>
      </c>
      <c r="AH45" s="7" t="s">
        <v>61</v>
      </c>
      <c r="AI45" s="7" t="s">
        <v>62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" t="str">
        <f t="shared" ref="A1:A14" si="1"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>0</v>
      </c>
      <c r="B1" s="8" t="s">
        <v>35</v>
      </c>
      <c r="C1" s="8" t="s">
        <v>28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M1" s="8" t="s">
        <v>36</v>
      </c>
      <c r="AN1" s="8" t="s">
        <v>37</v>
      </c>
      <c r="AO1" s="6" t="s">
        <v>39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11</v>
      </c>
      <c r="BD1" s="6" t="s">
        <v>54</v>
      </c>
    </row>
    <row r="2">
      <c r="A2" s="24" t="str">
        <f t="shared" si="1"/>
        <v>3</v>
      </c>
      <c r="B2" s="25" t="s">
        <v>171</v>
      </c>
      <c r="C2" s="25" t="s">
        <v>167</v>
      </c>
      <c r="Y2" s="7">
        <v>1.0</v>
      </c>
      <c r="Z2" s="7">
        <v>1.0</v>
      </c>
      <c r="AF2" s="7" t="s">
        <v>168</v>
      </c>
      <c r="AG2" s="9" t="s">
        <v>169</v>
      </c>
      <c r="AH2" s="7" t="s">
        <v>67</v>
      </c>
      <c r="AI2" s="7" t="s">
        <v>62</v>
      </c>
      <c r="AJ2" s="7" t="s">
        <v>170</v>
      </c>
    </row>
    <row r="3">
      <c r="A3" s="24" t="str">
        <f t="shared" si="1"/>
        <v>3</v>
      </c>
      <c r="B3" s="25" t="s">
        <v>171</v>
      </c>
      <c r="C3" s="25" t="s">
        <v>172</v>
      </c>
      <c r="D3" s="7">
        <v>1.0</v>
      </c>
      <c r="J3" s="7">
        <v>1.0</v>
      </c>
      <c r="T3" s="7" t="s">
        <v>57</v>
      </c>
      <c r="U3" s="7">
        <v>1.0</v>
      </c>
      <c r="V3" s="7">
        <v>1.0</v>
      </c>
      <c r="AF3" s="7" t="s">
        <v>173</v>
      </c>
      <c r="AG3" s="9" t="s">
        <v>174</v>
      </c>
      <c r="AH3" s="7" t="s">
        <v>67</v>
      </c>
      <c r="AI3" s="7" t="s">
        <v>68</v>
      </c>
      <c r="AJ3" s="7" t="s">
        <v>175</v>
      </c>
      <c r="AK3" s="7">
        <v>75119.0</v>
      </c>
      <c r="AU3" s="7">
        <v>1.0</v>
      </c>
      <c r="AV3" s="7">
        <v>1.0</v>
      </c>
    </row>
    <row r="4">
      <c r="A4" s="24" t="str">
        <f t="shared" si="1"/>
        <v>3</v>
      </c>
      <c r="B4" s="25" t="s">
        <v>171</v>
      </c>
      <c r="C4" s="25" t="s">
        <v>205</v>
      </c>
      <c r="D4" s="7">
        <v>4.0</v>
      </c>
      <c r="T4" s="7" t="s">
        <v>57</v>
      </c>
      <c r="U4" s="7">
        <v>2.0</v>
      </c>
      <c r="V4" s="7">
        <v>2.0</v>
      </c>
      <c r="AF4" s="7" t="s">
        <v>206</v>
      </c>
      <c r="AG4" s="9" t="s">
        <v>207</v>
      </c>
      <c r="AH4" s="7" t="s">
        <v>67</v>
      </c>
      <c r="AI4" s="7" t="s">
        <v>62</v>
      </c>
    </row>
    <row r="5">
      <c r="A5" s="24" t="str">
        <f t="shared" si="1"/>
        <v>3</v>
      </c>
      <c r="B5" s="25" t="s">
        <v>171</v>
      </c>
      <c r="C5" s="25" t="s">
        <v>214</v>
      </c>
      <c r="E5" s="7">
        <v>2.0</v>
      </c>
      <c r="F5" s="7" t="s">
        <v>212</v>
      </c>
      <c r="G5" s="7">
        <v>1.0</v>
      </c>
      <c r="H5" s="7" t="s">
        <v>213</v>
      </c>
      <c r="T5" s="7" t="s">
        <v>57</v>
      </c>
      <c r="U5" s="7">
        <v>1.0</v>
      </c>
      <c r="V5" s="7">
        <v>1.0</v>
      </c>
      <c r="AF5" s="7" t="s">
        <v>215</v>
      </c>
      <c r="AG5" s="9" t="s">
        <v>216</v>
      </c>
      <c r="AH5" s="7" t="s">
        <v>67</v>
      </c>
      <c r="AI5" s="7" t="s">
        <v>62</v>
      </c>
    </row>
    <row r="6">
      <c r="A6" s="24" t="str">
        <f t="shared" si="1"/>
        <v>3</v>
      </c>
      <c r="B6" s="25" t="s">
        <v>171</v>
      </c>
      <c r="C6" s="25" t="s">
        <v>227</v>
      </c>
      <c r="D6" s="7">
        <v>1.0</v>
      </c>
      <c r="T6" s="7" t="s">
        <v>70</v>
      </c>
      <c r="AF6" s="7" t="s">
        <v>228</v>
      </c>
      <c r="AG6" s="9" t="s">
        <v>229</v>
      </c>
      <c r="AH6" s="7" t="s">
        <v>67</v>
      </c>
      <c r="AI6" s="7" t="s">
        <v>62</v>
      </c>
      <c r="AV6" s="7">
        <v>1.0</v>
      </c>
    </row>
    <row r="7">
      <c r="A7" s="24" t="str">
        <f t="shared" si="1"/>
        <v>3</v>
      </c>
      <c r="B7" s="25" t="s">
        <v>171</v>
      </c>
      <c r="C7" s="25" t="s">
        <v>246</v>
      </c>
      <c r="D7" s="7">
        <v>2.0</v>
      </c>
      <c r="J7" s="7">
        <v>3.0</v>
      </c>
      <c r="T7" s="7" t="s">
        <v>70</v>
      </c>
      <c r="AF7" s="7" t="s">
        <v>247</v>
      </c>
      <c r="AG7" s="9" t="s">
        <v>248</v>
      </c>
      <c r="AH7" s="7" t="s">
        <v>67</v>
      </c>
      <c r="AI7" s="7" t="s">
        <v>62</v>
      </c>
      <c r="AS7" s="7">
        <v>2.0</v>
      </c>
      <c r="AU7" s="7">
        <v>1.0</v>
      </c>
      <c r="AV7" s="7">
        <v>2.0</v>
      </c>
    </row>
    <row r="8">
      <c r="A8" s="24" t="str">
        <f t="shared" si="1"/>
        <v>3</v>
      </c>
      <c r="B8" s="25" t="s">
        <v>171</v>
      </c>
      <c r="C8" s="25" t="s">
        <v>281</v>
      </c>
      <c r="AA8" s="7">
        <v>2.0</v>
      </c>
      <c r="AF8" s="7" t="s">
        <v>282</v>
      </c>
      <c r="AG8" s="9" t="s">
        <v>283</v>
      </c>
      <c r="AH8" s="7" t="s">
        <v>67</v>
      </c>
      <c r="AI8" s="7" t="s">
        <v>62</v>
      </c>
      <c r="AJ8" s="7" t="s">
        <v>284</v>
      </c>
    </row>
    <row r="9">
      <c r="A9" s="24" t="str">
        <f t="shared" si="1"/>
        <v>3</v>
      </c>
      <c r="B9" s="25" t="s">
        <v>171</v>
      </c>
      <c r="C9" s="25" t="s">
        <v>324</v>
      </c>
      <c r="E9" s="7">
        <v>2.0</v>
      </c>
      <c r="F9" s="7" t="s">
        <v>323</v>
      </c>
      <c r="T9" s="7" t="s">
        <v>70</v>
      </c>
      <c r="AF9" s="7" t="s">
        <v>325</v>
      </c>
      <c r="AG9" s="9" t="s">
        <v>326</v>
      </c>
      <c r="AH9" s="7" t="s">
        <v>67</v>
      </c>
      <c r="AI9" s="7" t="s">
        <v>68</v>
      </c>
      <c r="AJ9" s="7" t="s">
        <v>327</v>
      </c>
      <c r="AK9" s="9" t="s">
        <v>328</v>
      </c>
      <c r="AV9" s="7">
        <v>2.0</v>
      </c>
    </row>
    <row r="10">
      <c r="A10" s="24" t="str">
        <f t="shared" si="1"/>
        <v>3</v>
      </c>
      <c r="B10" s="25" t="s">
        <v>171</v>
      </c>
      <c r="C10" s="25" t="s">
        <v>344</v>
      </c>
      <c r="E10" s="7">
        <v>1.0</v>
      </c>
      <c r="F10" s="7" t="s">
        <v>343</v>
      </c>
      <c r="T10" s="7" t="s">
        <v>57</v>
      </c>
      <c r="V10" s="7">
        <v>1.0</v>
      </c>
      <c r="AF10" s="7" t="s">
        <v>345</v>
      </c>
      <c r="AG10" s="9" t="s">
        <v>346</v>
      </c>
      <c r="AH10" s="7" t="s">
        <v>67</v>
      </c>
      <c r="AI10" s="7" t="s">
        <v>62</v>
      </c>
      <c r="AW10" s="7">
        <v>1.0</v>
      </c>
    </row>
    <row r="11">
      <c r="A11" s="24" t="str">
        <f t="shared" si="1"/>
        <v>3</v>
      </c>
      <c r="B11" s="25" t="s">
        <v>171</v>
      </c>
      <c r="C11" s="25" t="s">
        <v>358</v>
      </c>
      <c r="I11" s="7">
        <v>2.0</v>
      </c>
      <c r="J11" s="7">
        <v>2.0</v>
      </c>
      <c r="T11" s="7" t="s">
        <v>70</v>
      </c>
      <c r="AF11" s="7" t="s">
        <v>359</v>
      </c>
      <c r="AG11" s="9" t="s">
        <v>360</v>
      </c>
      <c r="AH11" s="7" t="s">
        <v>67</v>
      </c>
      <c r="AI11" s="7" t="s">
        <v>62</v>
      </c>
      <c r="AS11" s="7">
        <v>1.0</v>
      </c>
      <c r="AT11" s="7">
        <v>5.0</v>
      </c>
      <c r="AX11" s="7">
        <v>6.0</v>
      </c>
      <c r="BB11" s="7">
        <v>1.0</v>
      </c>
    </row>
    <row r="12">
      <c r="A12" s="24" t="str">
        <f t="shared" si="1"/>
        <v>3</v>
      </c>
      <c r="B12" s="25" t="s">
        <v>171</v>
      </c>
      <c r="C12" s="25" t="s">
        <v>372</v>
      </c>
      <c r="E12" s="7">
        <v>2.0</v>
      </c>
      <c r="I12" s="7">
        <v>1.0</v>
      </c>
      <c r="T12" s="7" t="s">
        <v>57</v>
      </c>
      <c r="V12" s="7">
        <v>3.0</v>
      </c>
      <c r="AF12" s="7" t="s">
        <v>373</v>
      </c>
      <c r="AG12" s="9" t="s">
        <v>374</v>
      </c>
      <c r="AH12" s="7" t="s">
        <v>67</v>
      </c>
      <c r="AI12" s="7" t="s">
        <v>62</v>
      </c>
      <c r="AS12" s="7">
        <v>1.0</v>
      </c>
      <c r="AX12" s="7">
        <v>1.0</v>
      </c>
    </row>
    <row r="13">
      <c r="A13" s="24" t="str">
        <f t="shared" si="1"/>
        <v>3</v>
      </c>
      <c r="B13" s="25" t="s">
        <v>171</v>
      </c>
      <c r="C13" s="25" t="s">
        <v>399</v>
      </c>
      <c r="D13" s="7">
        <v>4.0</v>
      </c>
      <c r="E13" s="7">
        <v>1.0</v>
      </c>
      <c r="F13" s="7" t="s">
        <v>398</v>
      </c>
      <c r="J13" s="7">
        <v>1.0</v>
      </c>
      <c r="T13" s="7" t="s">
        <v>57</v>
      </c>
      <c r="U13" s="7">
        <v>15.0</v>
      </c>
      <c r="AF13" s="7" t="s">
        <v>400</v>
      </c>
      <c r="AG13" s="9" t="s">
        <v>401</v>
      </c>
      <c r="AH13" s="7" t="s">
        <v>67</v>
      </c>
      <c r="AI13" s="7" t="s">
        <v>68</v>
      </c>
      <c r="AK13" s="7">
        <v>40236.0</v>
      </c>
      <c r="AS13" s="7">
        <v>2.0</v>
      </c>
      <c r="AT13" s="7">
        <v>4.0</v>
      </c>
      <c r="AU13" s="7">
        <v>1.0</v>
      </c>
      <c r="AV13" s="7">
        <v>12.0</v>
      </c>
      <c r="AW13" s="7">
        <v>36.0</v>
      </c>
    </row>
    <row r="14">
      <c r="A14" s="24" t="str">
        <f t="shared" si="1"/>
        <v>3</v>
      </c>
      <c r="B14" s="25" t="s">
        <v>171</v>
      </c>
      <c r="C14" s="25" t="s">
        <v>159</v>
      </c>
      <c r="AA14" s="7">
        <v>3.0</v>
      </c>
      <c r="AF14" s="7" t="s">
        <v>160</v>
      </c>
      <c r="AG14" s="9" t="s">
        <v>161</v>
      </c>
      <c r="AH14" s="7" t="s">
        <v>67</v>
      </c>
      <c r="AI14" s="7" t="s">
        <v>68</v>
      </c>
      <c r="AK14" s="7">
        <v>92024.0</v>
      </c>
      <c r="AM14" s="7" t="s">
        <v>159</v>
      </c>
      <c r="AN14" s="7" t="s">
        <v>171</v>
      </c>
      <c r="AP14" s="7">
        <v>3.0</v>
      </c>
    </row>
    <row r="15">
      <c r="A15" s="6"/>
      <c r="B15" s="7"/>
      <c r="C15" s="7"/>
      <c r="D15" s="16">
        <f t="shared" ref="D15:E15" si="2">SUM(D2:D14)</f>
        <v>12</v>
      </c>
      <c r="E15" s="16">
        <f t="shared" si="2"/>
        <v>8</v>
      </c>
      <c r="G15" s="16">
        <f>SUM(G2:G14)</f>
        <v>1</v>
      </c>
      <c r="I15" s="16">
        <f>SUM(I2:I14)</f>
        <v>3</v>
      </c>
      <c r="J15" s="7">
        <v>7.0</v>
      </c>
      <c r="U15" s="7">
        <v>19.0</v>
      </c>
      <c r="V15" s="7">
        <v>8.0</v>
      </c>
      <c r="Y15" s="7">
        <v>1.0</v>
      </c>
      <c r="Z15" s="7">
        <v>1.0</v>
      </c>
      <c r="AA15" s="7">
        <v>5.0</v>
      </c>
      <c r="AF15" s="7"/>
      <c r="AG15" s="7"/>
      <c r="AH15" s="7"/>
      <c r="AI15" s="7"/>
      <c r="AK15" s="7"/>
      <c r="AM15" s="7"/>
      <c r="AN15" s="7"/>
      <c r="AO15" s="7">
        <v>0.0</v>
      </c>
      <c r="AP15" s="7">
        <v>3.0</v>
      </c>
      <c r="AQ15" s="7">
        <v>0.0</v>
      </c>
      <c r="AR15" s="7">
        <v>0.0</v>
      </c>
      <c r="AS15" s="16">
        <f t="shared" ref="AS15:BB15" si="3">SUM(AS2:AS14)</f>
        <v>6</v>
      </c>
      <c r="AT15" s="16">
        <f t="shared" si="3"/>
        <v>9</v>
      </c>
      <c r="AU15" s="16">
        <f t="shared" si="3"/>
        <v>3</v>
      </c>
      <c r="AV15" s="16">
        <f t="shared" si="3"/>
        <v>18</v>
      </c>
      <c r="AW15" s="16">
        <f t="shared" si="3"/>
        <v>37</v>
      </c>
      <c r="AX15" s="16">
        <f t="shared" si="3"/>
        <v>7</v>
      </c>
      <c r="AY15" s="16">
        <f t="shared" si="3"/>
        <v>0</v>
      </c>
      <c r="AZ15" s="16">
        <f t="shared" si="3"/>
        <v>0</v>
      </c>
      <c r="BA15" s="16">
        <f t="shared" si="3"/>
        <v>0</v>
      </c>
      <c r="BB15" s="16">
        <f t="shared" si="3"/>
        <v>1</v>
      </c>
    </row>
    <row r="16">
      <c r="A16" s="6"/>
      <c r="B16" s="7"/>
      <c r="C16" s="7"/>
      <c r="AA16" s="7"/>
      <c r="AF16" s="7"/>
      <c r="AG16" s="7"/>
      <c r="AH16" s="7"/>
      <c r="AI16" s="7"/>
      <c r="AK16" s="7"/>
      <c r="AM16" s="7"/>
      <c r="AN16" s="7"/>
      <c r="AP16" s="7"/>
    </row>
    <row r="17">
      <c r="A17" s="26" t="str">
        <f t="shared" ref="A17:A18" si="4">IF($B17="取貨方式","0", 
 IF($B17="12/17(三) 12:00 - 13:00 暨大人文學院國比系辦","1", 
 IF($B17="12/18 (四) 12:00 - 13:00 暨大人文學院國比系辦","2", 
 IF($B17="台大與曉雯老師面交", "3", 
 IF($B17="宜蘭與曉雯老師面交","4",
 IF($B17="埔里小川商店 (南投縣埔里鎮北環路 246 號巷 28 號)","5",
 IF($B17="郵寄到家（未滿 $1000 運費 65；郵寄同一地址訂購 $1000 以上免運費) (寄出日期 12/14- 12/22)","6","")
 ))))))</f>
        <v>4</v>
      </c>
      <c r="B17" s="27" t="s">
        <v>369</v>
      </c>
      <c r="C17" s="27" t="s">
        <v>366</v>
      </c>
      <c r="D17" s="7">
        <v>10.0</v>
      </c>
      <c r="E17" s="7">
        <v>5.0</v>
      </c>
      <c r="F17" s="7" t="s">
        <v>364</v>
      </c>
      <c r="G17" s="7">
        <v>2.0</v>
      </c>
      <c r="H17" s="7" t="s">
        <v>365</v>
      </c>
      <c r="I17" s="7">
        <v>2.0</v>
      </c>
      <c r="T17" s="7" t="s">
        <v>57</v>
      </c>
      <c r="U17" s="7">
        <v>6.0</v>
      </c>
      <c r="V17" s="7">
        <v>7.0</v>
      </c>
      <c r="AF17" s="7" t="s">
        <v>367</v>
      </c>
      <c r="AG17" s="9" t="s">
        <v>368</v>
      </c>
      <c r="AH17" s="7" t="s">
        <v>67</v>
      </c>
      <c r="AI17" s="7" t="s">
        <v>62</v>
      </c>
      <c r="AS17" s="7">
        <v>2.0</v>
      </c>
      <c r="AU17" s="7">
        <v>2.0</v>
      </c>
      <c r="AV17" s="7">
        <v>18.0</v>
      </c>
      <c r="AX17" s="7">
        <v>1.0</v>
      </c>
    </row>
    <row r="18">
      <c r="A18" s="26" t="str">
        <f t="shared" si="4"/>
        <v>4</v>
      </c>
      <c r="B18" s="27" t="s">
        <v>369</v>
      </c>
      <c r="C18" s="27" t="s">
        <v>375</v>
      </c>
      <c r="D18" s="7">
        <v>2.0</v>
      </c>
      <c r="T18" s="7" t="s">
        <v>57</v>
      </c>
      <c r="V18" s="7">
        <v>1.0</v>
      </c>
      <c r="AF18" s="7" t="s">
        <v>376</v>
      </c>
      <c r="AG18" s="9" t="s">
        <v>377</v>
      </c>
      <c r="AH18" s="7" t="s">
        <v>103</v>
      </c>
      <c r="AI18" s="7" t="s">
        <v>62</v>
      </c>
      <c r="AU18" s="7">
        <v>1.0</v>
      </c>
    </row>
    <row r="19">
      <c r="A19" s="11"/>
      <c r="D19" s="16">
        <f>SUM(D17:D18)</f>
        <v>12</v>
      </c>
      <c r="G19" s="16">
        <f>SUM(G17:G18)</f>
        <v>2</v>
      </c>
      <c r="I19" s="16">
        <f>SUM(I17:I18)</f>
        <v>2</v>
      </c>
    </row>
    <row r="20">
      <c r="A20" s="11"/>
    </row>
    <row r="21">
      <c r="A21" s="14" t="s">
        <v>403</v>
      </c>
      <c r="B21" s="13"/>
      <c r="C21" s="13"/>
      <c r="D21" s="14" t="s">
        <v>436</v>
      </c>
      <c r="E21" s="14" t="s">
        <v>437</v>
      </c>
    </row>
    <row r="22">
      <c r="A22" s="17" t="s">
        <v>404</v>
      </c>
      <c r="B22" s="17"/>
      <c r="C22" s="14"/>
      <c r="D22" s="14">
        <v>15.0</v>
      </c>
      <c r="E22" s="14">
        <v>13.0</v>
      </c>
    </row>
    <row r="23">
      <c r="A23" s="17" t="s">
        <v>406</v>
      </c>
      <c r="B23" s="17"/>
      <c r="C23" s="14"/>
      <c r="D23" s="14">
        <v>19.0</v>
      </c>
      <c r="E23" s="14">
        <v>16.0</v>
      </c>
    </row>
    <row r="24">
      <c r="A24" s="17" t="s">
        <v>408</v>
      </c>
      <c r="B24" s="17"/>
      <c r="C24" s="14"/>
      <c r="D24" s="14">
        <v>16.0</v>
      </c>
      <c r="E24" s="14">
        <v>19.0</v>
      </c>
    </row>
    <row r="25">
      <c r="A25" s="17" t="s">
        <v>411</v>
      </c>
      <c r="B25" s="17"/>
      <c r="C25" s="14"/>
      <c r="D25" s="14">
        <v>10.0</v>
      </c>
      <c r="E25" s="14">
        <v>6.0</v>
      </c>
    </row>
    <row r="26">
      <c r="A26" s="18" t="s">
        <v>413</v>
      </c>
      <c r="B26" s="17"/>
      <c r="C26" s="14"/>
      <c r="D26" s="14">
        <v>22.0</v>
      </c>
      <c r="E26" s="14">
        <v>5.0</v>
      </c>
    </row>
    <row r="27">
      <c r="A27" s="17"/>
      <c r="B27" s="17"/>
      <c r="C27" s="13"/>
      <c r="D27" s="14"/>
      <c r="E27" s="14"/>
    </row>
    <row r="28">
      <c r="A28" s="17" t="s">
        <v>415</v>
      </c>
      <c r="B28" s="17"/>
      <c r="C28" s="14"/>
      <c r="D28" s="14">
        <v>8.0</v>
      </c>
      <c r="E28" s="14">
        <v>0.0</v>
      </c>
    </row>
    <row r="29">
      <c r="A29" s="17" t="s">
        <v>417</v>
      </c>
      <c r="B29" s="17"/>
      <c r="C29" s="14"/>
      <c r="D29" s="14">
        <v>7.0</v>
      </c>
      <c r="E29" s="14">
        <v>0.0</v>
      </c>
    </row>
    <row r="30">
      <c r="A30" s="17" t="s">
        <v>419</v>
      </c>
      <c r="B30" s="17"/>
      <c r="C30" s="14"/>
      <c r="D30" s="14">
        <v>3.0</v>
      </c>
      <c r="E30" s="14">
        <v>3.0</v>
      </c>
    </row>
    <row r="31">
      <c r="A31" s="17" t="s">
        <v>420</v>
      </c>
      <c r="B31" s="17"/>
      <c r="C31" s="14"/>
      <c r="D31" s="14">
        <v>21.0</v>
      </c>
      <c r="E31" s="14">
        <v>18.0</v>
      </c>
    </row>
    <row r="32">
      <c r="A32" s="17" t="s">
        <v>423</v>
      </c>
      <c r="B32" s="17"/>
      <c r="C32" s="14"/>
      <c r="D32" s="14">
        <v>7.0</v>
      </c>
      <c r="E32" s="14">
        <v>1.0</v>
      </c>
    </row>
    <row r="33">
      <c r="A33" s="17" t="s">
        <v>429</v>
      </c>
      <c r="B33" s="17"/>
      <c r="C33" s="14"/>
      <c r="D33" s="14">
        <v>1.0</v>
      </c>
      <c r="E33" s="14">
        <v>0.0</v>
      </c>
    </row>
    <row r="34">
      <c r="A34" s="18" t="s">
        <v>431</v>
      </c>
      <c r="B34" s="17"/>
      <c r="C34" s="14"/>
      <c r="D34" s="14">
        <v>19.0</v>
      </c>
      <c r="E34" s="14">
        <v>6.0</v>
      </c>
    </row>
    <row r="35">
      <c r="A35" s="17" t="s">
        <v>432</v>
      </c>
      <c r="B35" s="17"/>
      <c r="C35" s="14"/>
      <c r="D35" s="14">
        <v>8.0</v>
      </c>
      <c r="E35" s="14">
        <v>8.0</v>
      </c>
    </row>
    <row r="36">
      <c r="A36" s="14" t="s">
        <v>433</v>
      </c>
      <c r="B36" s="13"/>
      <c r="C36" s="14"/>
      <c r="D36" s="14">
        <v>13.0</v>
      </c>
      <c r="E36" s="14">
        <v>2.0</v>
      </c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 t="shared" ref="A1:A4" si="1"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>0</v>
      </c>
      <c r="B1" s="8" t="s">
        <v>35</v>
      </c>
      <c r="C1" s="8" t="s">
        <v>28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M1" s="8" t="s">
        <v>36</v>
      </c>
      <c r="AN1" s="8" t="s">
        <v>37</v>
      </c>
      <c r="AO1" s="6" t="s">
        <v>39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11</v>
      </c>
      <c r="BD1" s="6" t="s">
        <v>54</v>
      </c>
    </row>
    <row r="2">
      <c r="A2" s="28" t="str">
        <f t="shared" si="1"/>
        <v>5</v>
      </c>
      <c r="B2" s="29" t="s">
        <v>144</v>
      </c>
      <c r="C2" s="29" t="s">
        <v>209</v>
      </c>
      <c r="E2" s="7">
        <v>1.0</v>
      </c>
      <c r="F2" s="7" t="s">
        <v>208</v>
      </c>
      <c r="J2" s="7">
        <v>1.0</v>
      </c>
      <c r="T2" s="7" t="s">
        <v>70</v>
      </c>
      <c r="AF2" s="7" t="s">
        <v>210</v>
      </c>
      <c r="AG2" s="9" t="s">
        <v>211</v>
      </c>
      <c r="AH2" s="7" t="s">
        <v>67</v>
      </c>
      <c r="AI2" s="7" t="s">
        <v>62</v>
      </c>
    </row>
    <row r="3">
      <c r="A3" s="28" t="str">
        <f t="shared" si="1"/>
        <v>5</v>
      </c>
      <c r="B3" s="29" t="s">
        <v>144</v>
      </c>
      <c r="C3" s="29" t="s">
        <v>330</v>
      </c>
      <c r="D3" s="11"/>
      <c r="E3" s="10">
        <v>2.0</v>
      </c>
      <c r="F3" s="10" t="s">
        <v>329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0" t="s">
        <v>57</v>
      </c>
      <c r="U3" s="11"/>
      <c r="V3" s="10">
        <v>2.0</v>
      </c>
      <c r="W3" s="11"/>
      <c r="X3" s="11"/>
      <c r="Y3" s="11"/>
      <c r="Z3" s="11"/>
      <c r="AA3" s="11"/>
      <c r="AB3" s="11"/>
      <c r="AC3" s="11"/>
      <c r="AD3" s="11"/>
      <c r="AF3" s="10" t="s">
        <v>331</v>
      </c>
      <c r="AG3" s="12" t="s">
        <v>332</v>
      </c>
      <c r="AH3" s="10" t="s">
        <v>67</v>
      </c>
      <c r="AI3" s="10" t="s">
        <v>62</v>
      </c>
      <c r="AJ3" s="11"/>
      <c r="AK3" s="11"/>
      <c r="AM3" s="11"/>
      <c r="AN3" s="11"/>
      <c r="AO3" s="11"/>
      <c r="AP3" s="11"/>
      <c r="AQ3" s="11"/>
      <c r="AR3" s="11"/>
      <c r="AS3" s="11"/>
      <c r="AT3" s="11"/>
      <c r="AU3" s="11"/>
      <c r="AV3" s="10">
        <v>2.0</v>
      </c>
      <c r="AW3" s="11"/>
      <c r="AX3" s="10">
        <v>2.0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>
      <c r="A4" s="28" t="str">
        <f t="shared" si="1"/>
        <v>5</v>
      </c>
      <c r="B4" s="29" t="s">
        <v>144</v>
      </c>
      <c r="C4" s="29" t="s">
        <v>141</v>
      </c>
      <c r="W4" s="7">
        <v>1.0</v>
      </c>
      <c r="AF4" s="7" t="s">
        <v>142</v>
      </c>
      <c r="AG4" s="9" t="s">
        <v>143</v>
      </c>
      <c r="AH4" s="7" t="s">
        <v>103</v>
      </c>
      <c r="AI4" s="7" t="s">
        <v>62</v>
      </c>
      <c r="AP4" s="7">
        <v>1.0</v>
      </c>
      <c r="AR4" s="7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tr">
        <f t="shared" ref="A1:A31" si="1"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>0</v>
      </c>
      <c r="B1" s="8" t="s">
        <v>35</v>
      </c>
      <c r="C1" s="8" t="s">
        <v>28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M1" s="8" t="s">
        <v>36</v>
      </c>
      <c r="AN1" s="8" t="s">
        <v>37</v>
      </c>
      <c r="AO1" s="6" t="s">
        <v>39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11</v>
      </c>
      <c r="BD1" s="6" t="s">
        <v>54</v>
      </c>
    </row>
    <row r="2">
      <c r="A2" s="30" t="str">
        <f t="shared" si="1"/>
        <v>6</v>
      </c>
      <c r="B2" s="7" t="s">
        <v>69</v>
      </c>
      <c r="C2" s="7" t="s">
        <v>64</v>
      </c>
      <c r="D2" s="7">
        <v>1.0</v>
      </c>
      <c r="J2" s="7">
        <v>1.0</v>
      </c>
      <c r="T2" s="7" t="s">
        <v>57</v>
      </c>
      <c r="U2" s="7">
        <v>1.0</v>
      </c>
      <c r="AF2" s="7" t="s">
        <v>65</v>
      </c>
      <c r="AG2" s="9" t="s">
        <v>66</v>
      </c>
      <c r="AH2" s="7" t="s">
        <v>67</v>
      </c>
      <c r="AI2" s="7" t="s">
        <v>68</v>
      </c>
      <c r="AK2" s="7">
        <v>89423.0</v>
      </c>
      <c r="AM2" s="7" t="s">
        <v>64</v>
      </c>
      <c r="AN2" s="7">
        <v>408002.0</v>
      </c>
      <c r="AS2" s="7">
        <v>1.0</v>
      </c>
      <c r="AT2" s="7">
        <v>2.0</v>
      </c>
      <c r="AU2" s="7">
        <v>1.0</v>
      </c>
      <c r="AX2" s="7">
        <v>1.0</v>
      </c>
      <c r="BB2" s="7">
        <v>2.0</v>
      </c>
    </row>
    <row r="3">
      <c r="A3" s="30" t="str">
        <f t="shared" si="1"/>
        <v>6</v>
      </c>
      <c r="B3" s="7" t="s">
        <v>69</v>
      </c>
      <c r="C3" s="7" t="s">
        <v>80</v>
      </c>
      <c r="E3" s="7">
        <v>1.0</v>
      </c>
      <c r="F3" s="7" t="s">
        <v>79</v>
      </c>
      <c r="T3" s="7" t="s">
        <v>57</v>
      </c>
      <c r="U3" s="7">
        <v>1.0</v>
      </c>
      <c r="AF3" s="7" t="s">
        <v>81</v>
      </c>
      <c r="AG3" s="9" t="s">
        <v>82</v>
      </c>
      <c r="AH3" s="7" t="s">
        <v>83</v>
      </c>
      <c r="AI3" s="7" t="s">
        <v>68</v>
      </c>
      <c r="AK3" s="7">
        <v>93571.0</v>
      </c>
      <c r="AM3" s="7" t="s">
        <v>80</v>
      </c>
      <c r="AN3" s="7" t="s">
        <v>84</v>
      </c>
      <c r="AS3" s="7">
        <v>1.0</v>
      </c>
      <c r="AV3" s="7">
        <v>2.0</v>
      </c>
      <c r="BB3" s="7">
        <v>1.0</v>
      </c>
    </row>
    <row r="4">
      <c r="A4" s="30" t="str">
        <f t="shared" si="1"/>
        <v>6</v>
      </c>
      <c r="B4" s="7" t="s">
        <v>69</v>
      </c>
      <c r="C4" s="7" t="s">
        <v>86</v>
      </c>
      <c r="G4" s="7">
        <v>1.0</v>
      </c>
      <c r="H4" s="7" t="s">
        <v>85</v>
      </c>
      <c r="J4" s="7">
        <v>1.0</v>
      </c>
      <c r="T4" s="7" t="s">
        <v>70</v>
      </c>
      <c r="AF4" s="7" t="s">
        <v>87</v>
      </c>
      <c r="AG4" s="9" t="s">
        <v>88</v>
      </c>
      <c r="AH4" s="7" t="s">
        <v>67</v>
      </c>
      <c r="AI4" s="7" t="s">
        <v>68</v>
      </c>
      <c r="AK4" s="7">
        <v>86771.0</v>
      </c>
      <c r="AM4" s="7" t="s">
        <v>86</v>
      </c>
      <c r="AN4" s="7" t="s">
        <v>89</v>
      </c>
      <c r="AV4" s="7">
        <v>2.0</v>
      </c>
      <c r="BB4" s="7">
        <v>1.0</v>
      </c>
    </row>
    <row r="5">
      <c r="A5" s="30" t="str">
        <f t="shared" si="1"/>
        <v>6</v>
      </c>
      <c r="B5" s="7" t="s">
        <v>69</v>
      </c>
      <c r="C5" s="7" t="s">
        <v>93</v>
      </c>
      <c r="E5" s="7">
        <v>1.0</v>
      </c>
      <c r="F5" s="7" t="s">
        <v>56</v>
      </c>
      <c r="T5" s="7" t="s">
        <v>70</v>
      </c>
      <c r="AF5" s="7" t="s">
        <v>94</v>
      </c>
      <c r="AG5" s="9" t="s">
        <v>95</v>
      </c>
      <c r="AH5" s="7" t="s">
        <v>67</v>
      </c>
      <c r="AI5" s="7" t="s">
        <v>68</v>
      </c>
      <c r="AK5" s="7">
        <v>20536.0</v>
      </c>
      <c r="AM5" s="7" t="s">
        <v>93</v>
      </c>
      <c r="AN5" s="7" t="s">
        <v>96</v>
      </c>
      <c r="BB5" s="7">
        <v>1.0</v>
      </c>
    </row>
    <row r="6">
      <c r="A6" s="30" t="str">
        <f t="shared" si="1"/>
        <v>6</v>
      </c>
      <c r="B6" s="7" t="s">
        <v>69</v>
      </c>
      <c r="C6" s="7" t="s">
        <v>100</v>
      </c>
      <c r="D6" s="7">
        <v>1.0</v>
      </c>
      <c r="T6" s="7" t="s">
        <v>57</v>
      </c>
      <c r="V6" s="7">
        <v>1.0</v>
      </c>
      <c r="AF6" s="7" t="s">
        <v>101</v>
      </c>
      <c r="AG6" s="9" t="s">
        <v>102</v>
      </c>
      <c r="AH6" s="7" t="s">
        <v>103</v>
      </c>
      <c r="AI6" s="7" t="s">
        <v>68</v>
      </c>
      <c r="AK6" s="7">
        <v>27605.0</v>
      </c>
      <c r="AM6" s="7" t="s">
        <v>100</v>
      </c>
      <c r="AN6" s="7" t="s">
        <v>104</v>
      </c>
      <c r="AW6" s="7">
        <v>1.0</v>
      </c>
      <c r="BA6" s="7">
        <v>3.0</v>
      </c>
      <c r="BB6" s="7">
        <v>2.0</v>
      </c>
    </row>
    <row r="7">
      <c r="A7" s="30" t="str">
        <f t="shared" si="1"/>
        <v>6</v>
      </c>
      <c r="B7" s="7" t="s">
        <v>69</v>
      </c>
      <c r="C7" s="7" t="s">
        <v>112</v>
      </c>
      <c r="D7" s="7">
        <v>3.0</v>
      </c>
      <c r="T7" s="7" t="s">
        <v>70</v>
      </c>
      <c r="AF7" s="7" t="s">
        <v>113</v>
      </c>
      <c r="AG7" s="9" t="s">
        <v>114</v>
      </c>
      <c r="AH7" s="7" t="s">
        <v>67</v>
      </c>
      <c r="AI7" s="7" t="s">
        <v>68</v>
      </c>
      <c r="AK7" s="7">
        <v>43004.0</v>
      </c>
      <c r="AM7" s="7" t="s">
        <v>112</v>
      </c>
      <c r="AN7" s="7" t="s">
        <v>115</v>
      </c>
      <c r="AS7" s="7">
        <v>1.0</v>
      </c>
    </row>
    <row r="8">
      <c r="A8" s="30" t="str">
        <f t="shared" si="1"/>
        <v>6</v>
      </c>
      <c r="B8" s="7" t="s">
        <v>69</v>
      </c>
      <c r="C8" s="7" t="s">
        <v>123</v>
      </c>
      <c r="D8" s="7">
        <v>2.0</v>
      </c>
      <c r="T8" s="7" t="s">
        <v>70</v>
      </c>
      <c r="AF8" s="7" t="s">
        <v>124</v>
      </c>
      <c r="AG8" s="9" t="s">
        <v>125</v>
      </c>
      <c r="AH8" s="7" t="s">
        <v>67</v>
      </c>
      <c r="AI8" s="7" t="s">
        <v>68</v>
      </c>
      <c r="AJ8" s="7" t="s">
        <v>126</v>
      </c>
      <c r="AK8" s="7">
        <v>52430.0</v>
      </c>
      <c r="AM8" s="7" t="s">
        <v>123</v>
      </c>
      <c r="AN8" s="7" t="s">
        <v>127</v>
      </c>
      <c r="AS8" s="7">
        <v>3.0</v>
      </c>
    </row>
    <row r="9">
      <c r="A9" s="30" t="str">
        <f t="shared" si="1"/>
        <v>6</v>
      </c>
      <c r="B9" s="7" t="s">
        <v>69</v>
      </c>
      <c r="C9" s="7" t="s">
        <v>128</v>
      </c>
      <c r="D9" s="7">
        <v>1.0</v>
      </c>
      <c r="T9" s="7" t="s">
        <v>70</v>
      </c>
      <c r="AF9" s="7" t="s">
        <v>129</v>
      </c>
      <c r="AG9" s="9" t="s">
        <v>130</v>
      </c>
      <c r="AH9" s="7" t="s">
        <v>67</v>
      </c>
      <c r="AI9" s="7" t="s">
        <v>68</v>
      </c>
      <c r="AJ9" s="7" t="s">
        <v>131</v>
      </c>
      <c r="AK9" s="7">
        <v>43941.0</v>
      </c>
      <c r="AM9" s="7" t="s">
        <v>128</v>
      </c>
      <c r="AN9" s="7" t="s">
        <v>132</v>
      </c>
    </row>
    <row r="10">
      <c r="A10" s="30" t="str">
        <f t="shared" si="1"/>
        <v>6</v>
      </c>
      <c r="B10" s="7" t="s">
        <v>69</v>
      </c>
      <c r="C10" s="7" t="s">
        <v>133</v>
      </c>
      <c r="D10" s="7">
        <v>1.0</v>
      </c>
      <c r="T10" s="7" t="s">
        <v>70</v>
      </c>
      <c r="AF10" s="7" t="s">
        <v>134</v>
      </c>
      <c r="AG10" s="9" t="s">
        <v>135</v>
      </c>
      <c r="AH10" s="7" t="s">
        <v>67</v>
      </c>
      <c r="AI10" s="7" t="s">
        <v>68</v>
      </c>
      <c r="AK10" s="7">
        <v>69780.0</v>
      </c>
      <c r="AM10" s="7" t="s">
        <v>133</v>
      </c>
      <c r="AN10" s="7" t="s">
        <v>136</v>
      </c>
    </row>
    <row r="11">
      <c r="A11" s="30" t="str">
        <f t="shared" si="1"/>
        <v>6</v>
      </c>
      <c r="B11" s="7" t="s">
        <v>69</v>
      </c>
      <c r="C11" s="7" t="s">
        <v>159</v>
      </c>
      <c r="AF11" s="7" t="s">
        <v>160</v>
      </c>
      <c r="AG11" s="9" t="s">
        <v>161</v>
      </c>
      <c r="AH11" s="7" t="s">
        <v>67</v>
      </c>
      <c r="AI11" s="7" t="s">
        <v>62</v>
      </c>
      <c r="AJ11" s="7" t="s">
        <v>162</v>
      </c>
      <c r="AM11" s="7" t="s">
        <v>159</v>
      </c>
      <c r="AN11" s="7" t="s">
        <v>163</v>
      </c>
      <c r="AQ11" s="7">
        <v>5.0</v>
      </c>
      <c r="AR11" s="7">
        <v>5.0</v>
      </c>
    </row>
    <row r="12">
      <c r="A12" s="30" t="str">
        <f t="shared" si="1"/>
        <v>6</v>
      </c>
      <c r="B12" s="7" t="s">
        <v>69</v>
      </c>
      <c r="C12" s="7" t="s">
        <v>176</v>
      </c>
      <c r="W12" s="7">
        <v>2.0</v>
      </c>
      <c r="AA12" s="7">
        <v>2.0</v>
      </c>
      <c r="AF12" s="7" t="s">
        <v>177</v>
      </c>
      <c r="AG12" s="9" t="s">
        <v>178</v>
      </c>
      <c r="AH12" s="7" t="s">
        <v>67</v>
      </c>
      <c r="AI12" s="7" t="s">
        <v>68</v>
      </c>
      <c r="AJ12" s="7" t="s">
        <v>179</v>
      </c>
      <c r="AK12" s="7">
        <v>61391.0</v>
      </c>
      <c r="AM12" s="7" t="s">
        <v>176</v>
      </c>
      <c r="AN12" s="7" t="s">
        <v>180</v>
      </c>
      <c r="AP12" s="7">
        <v>2.0</v>
      </c>
    </row>
    <row r="13">
      <c r="A13" s="30" t="str">
        <f t="shared" si="1"/>
        <v>6</v>
      </c>
      <c r="B13" s="10" t="s">
        <v>69</v>
      </c>
      <c r="C13" s="10" t="s">
        <v>187</v>
      </c>
      <c r="D13" s="11"/>
      <c r="E13" s="11"/>
      <c r="F13" s="11"/>
      <c r="G13" s="10">
        <v>2.0</v>
      </c>
      <c r="H13" s="11"/>
      <c r="I13" s="11"/>
      <c r="J13" s="10">
        <v>1.0</v>
      </c>
      <c r="K13" s="11"/>
      <c r="L13" s="11"/>
      <c r="M13" s="11"/>
      <c r="N13" s="11"/>
      <c r="O13" s="11"/>
      <c r="P13" s="11"/>
      <c r="Q13" s="11"/>
      <c r="R13" s="11"/>
      <c r="S13" s="11"/>
      <c r="T13" s="10" t="s">
        <v>70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F13" s="10" t="s">
        <v>188</v>
      </c>
      <c r="AG13" s="12" t="s">
        <v>189</v>
      </c>
      <c r="AH13" s="10" t="s">
        <v>67</v>
      </c>
      <c r="AI13" s="10" t="s">
        <v>62</v>
      </c>
      <c r="AJ13" s="11"/>
      <c r="AK13" s="11"/>
      <c r="AM13" s="10" t="s">
        <v>187</v>
      </c>
      <c r="AN13" s="10" t="s">
        <v>190</v>
      </c>
      <c r="AO13" s="11"/>
      <c r="AP13" s="11"/>
      <c r="AQ13" s="11"/>
      <c r="AR13" s="11"/>
      <c r="AS13" s="10">
        <v>1.0</v>
      </c>
      <c r="AT13" s="10">
        <v>2.0</v>
      </c>
      <c r="AU13" s="11"/>
      <c r="AV13" s="10">
        <v>5.0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>
      <c r="A14" s="30" t="str">
        <f t="shared" si="1"/>
        <v>6</v>
      </c>
      <c r="B14" s="7" t="s">
        <v>69</v>
      </c>
      <c r="C14" s="7" t="s">
        <v>195</v>
      </c>
      <c r="G14" s="7">
        <v>1.0</v>
      </c>
      <c r="H14" s="7" t="s">
        <v>194</v>
      </c>
      <c r="J14" s="7">
        <v>1.0</v>
      </c>
      <c r="T14" s="7" t="s">
        <v>57</v>
      </c>
      <c r="U14" s="7">
        <v>1.0</v>
      </c>
      <c r="AF14" s="7" t="s">
        <v>196</v>
      </c>
      <c r="AG14" s="9" t="s">
        <v>197</v>
      </c>
      <c r="AH14" s="7" t="s">
        <v>67</v>
      </c>
      <c r="AI14" s="7" t="s">
        <v>68</v>
      </c>
      <c r="AK14" s="7">
        <v>37186.0</v>
      </c>
      <c r="AM14" s="7" t="s">
        <v>195</v>
      </c>
      <c r="AN14" s="7" t="s">
        <v>198</v>
      </c>
      <c r="AS14" s="7">
        <v>1.0</v>
      </c>
      <c r="AV14" s="7">
        <v>2.0</v>
      </c>
    </row>
    <row r="15">
      <c r="A15" s="30" t="str">
        <f t="shared" si="1"/>
        <v>6</v>
      </c>
      <c r="B15" s="7" t="s">
        <v>69</v>
      </c>
      <c r="C15" s="7" t="s">
        <v>199</v>
      </c>
      <c r="D15" s="7">
        <v>2.0</v>
      </c>
      <c r="I15" s="7">
        <v>1.0</v>
      </c>
      <c r="T15" s="7" t="s">
        <v>70</v>
      </c>
      <c r="AF15" s="7" t="s">
        <v>200</v>
      </c>
      <c r="AG15" s="9" t="s">
        <v>201</v>
      </c>
      <c r="AH15" s="7" t="s">
        <v>67</v>
      </c>
      <c r="AI15" s="7" t="s">
        <v>68</v>
      </c>
      <c r="AJ15" s="7" t="s">
        <v>202</v>
      </c>
      <c r="AK15" s="7">
        <v>11111.0</v>
      </c>
      <c r="AM15" s="7" t="s">
        <v>199</v>
      </c>
      <c r="AN15" s="7" t="s">
        <v>203</v>
      </c>
    </row>
    <row r="16">
      <c r="A16" s="30" t="str">
        <f t="shared" si="1"/>
        <v>6</v>
      </c>
      <c r="B16" s="10" t="s">
        <v>69</v>
      </c>
      <c r="C16" s="10" t="s">
        <v>199</v>
      </c>
      <c r="D16" s="11"/>
      <c r="E16" s="10">
        <v>2.0</v>
      </c>
      <c r="F16" s="10" t="s">
        <v>204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0" t="s">
        <v>70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F16" s="10" t="s">
        <v>200</v>
      </c>
      <c r="AG16" s="12" t="s">
        <v>201</v>
      </c>
      <c r="AH16" s="10" t="s">
        <v>61</v>
      </c>
      <c r="AI16" s="10" t="s">
        <v>68</v>
      </c>
      <c r="AJ16" s="10" t="s">
        <v>202</v>
      </c>
      <c r="AK16" s="10">
        <v>11111.0</v>
      </c>
      <c r="AM16" s="10" t="s">
        <v>199</v>
      </c>
      <c r="AN16" s="10" t="s">
        <v>203</v>
      </c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>
      <c r="A17" s="30" t="str">
        <f t="shared" si="1"/>
        <v>6</v>
      </c>
      <c r="B17" s="7" t="s">
        <v>69</v>
      </c>
      <c r="C17" s="7" t="s">
        <v>217</v>
      </c>
      <c r="I17" s="7">
        <v>8.0</v>
      </c>
      <c r="T17" s="7" t="s">
        <v>57</v>
      </c>
      <c r="U17" s="7">
        <v>1.0</v>
      </c>
      <c r="V17" s="7">
        <v>1.0</v>
      </c>
      <c r="AF17" s="7" t="s">
        <v>218</v>
      </c>
      <c r="AG17" s="9" t="s">
        <v>219</v>
      </c>
      <c r="AH17" s="7" t="s">
        <v>67</v>
      </c>
      <c r="AI17" s="7" t="s">
        <v>68</v>
      </c>
      <c r="AK17" s="9" t="s">
        <v>220</v>
      </c>
      <c r="AM17" s="7" t="s">
        <v>217</v>
      </c>
      <c r="AN17" s="7" t="s">
        <v>221</v>
      </c>
    </row>
    <row r="18">
      <c r="A18" s="30" t="str">
        <f t="shared" si="1"/>
        <v>6</v>
      </c>
      <c r="B18" s="7" t="s">
        <v>69</v>
      </c>
      <c r="C18" s="7" t="s">
        <v>222</v>
      </c>
      <c r="E18" s="7">
        <v>1.0</v>
      </c>
      <c r="F18" s="7" t="s">
        <v>56</v>
      </c>
      <c r="T18" s="7" t="s">
        <v>70</v>
      </c>
      <c r="AF18" s="7" t="s">
        <v>223</v>
      </c>
      <c r="AG18" s="9" t="s">
        <v>224</v>
      </c>
      <c r="AH18" s="7" t="s">
        <v>83</v>
      </c>
      <c r="AI18" s="7" t="s">
        <v>68</v>
      </c>
      <c r="AK18" s="9" t="s">
        <v>225</v>
      </c>
      <c r="AM18" s="7" t="s">
        <v>226</v>
      </c>
      <c r="AN18" s="7" t="s">
        <v>438</v>
      </c>
    </row>
    <row r="19">
      <c r="A19" s="30" t="str">
        <f t="shared" si="1"/>
        <v>6</v>
      </c>
      <c r="B19" s="7" t="s">
        <v>69</v>
      </c>
      <c r="C19" s="7" t="s">
        <v>231</v>
      </c>
      <c r="I19" s="7">
        <v>1.0</v>
      </c>
      <c r="T19" s="7" t="s">
        <v>70</v>
      </c>
      <c r="AF19" s="7" t="s">
        <v>232</v>
      </c>
      <c r="AG19" s="9" t="s">
        <v>233</v>
      </c>
      <c r="AH19" s="7" t="s">
        <v>67</v>
      </c>
      <c r="AI19" s="7" t="s">
        <v>68</v>
      </c>
      <c r="AK19" s="7" t="s">
        <v>234</v>
      </c>
      <c r="AM19" s="7" t="s">
        <v>231</v>
      </c>
      <c r="AN19" s="7" t="s">
        <v>235</v>
      </c>
      <c r="AV19" s="7">
        <v>2.0</v>
      </c>
      <c r="AX19" s="7">
        <v>2.0</v>
      </c>
    </row>
    <row r="20">
      <c r="A20" s="30" t="str">
        <f t="shared" si="1"/>
        <v>6</v>
      </c>
      <c r="B20" s="7" t="s">
        <v>69</v>
      </c>
      <c r="C20" s="7" t="s">
        <v>250</v>
      </c>
      <c r="G20" s="7">
        <v>2.0</v>
      </c>
      <c r="H20" s="7" t="s">
        <v>249</v>
      </c>
      <c r="J20" s="7">
        <v>1.0</v>
      </c>
      <c r="T20" s="7" t="s">
        <v>57</v>
      </c>
      <c r="V20" s="7">
        <v>2.0</v>
      </c>
      <c r="AF20" s="7" t="s">
        <v>251</v>
      </c>
      <c r="AG20" s="9" t="s">
        <v>252</v>
      </c>
      <c r="AH20" s="7" t="s">
        <v>67</v>
      </c>
      <c r="AI20" s="7" t="s">
        <v>68</v>
      </c>
      <c r="AK20" s="7">
        <v>38640.0</v>
      </c>
      <c r="AM20" s="7" t="s">
        <v>250</v>
      </c>
      <c r="AN20" s="7" t="s">
        <v>253</v>
      </c>
    </row>
    <row r="21">
      <c r="A21" s="30" t="str">
        <f t="shared" si="1"/>
        <v>6</v>
      </c>
      <c r="B21" s="7" t="s">
        <v>69</v>
      </c>
      <c r="C21" s="7" t="s">
        <v>259</v>
      </c>
      <c r="D21" s="7">
        <v>2.0</v>
      </c>
      <c r="J21" s="7">
        <v>1.0</v>
      </c>
      <c r="T21" s="7" t="s">
        <v>57</v>
      </c>
      <c r="U21" s="7">
        <v>1.0</v>
      </c>
      <c r="V21" s="7">
        <v>1.0</v>
      </c>
      <c r="AF21" s="7" t="s">
        <v>260</v>
      </c>
      <c r="AG21" s="9" t="s">
        <v>261</v>
      </c>
      <c r="AH21" s="7" t="s">
        <v>61</v>
      </c>
      <c r="AI21" s="7" t="s">
        <v>68</v>
      </c>
      <c r="AK21" s="7">
        <v>31637.0</v>
      </c>
      <c r="AM21" s="7" t="s">
        <v>259</v>
      </c>
      <c r="AN21" s="7" t="s">
        <v>262</v>
      </c>
      <c r="AU21" s="7">
        <v>1.0</v>
      </c>
      <c r="AV21" s="7">
        <v>1.0</v>
      </c>
      <c r="AW21" s="7">
        <v>1.0</v>
      </c>
      <c r="AX21" s="7">
        <v>1.0</v>
      </c>
    </row>
    <row r="22">
      <c r="A22" s="30" t="str">
        <f t="shared" si="1"/>
        <v>6</v>
      </c>
      <c r="B22" s="7" t="s">
        <v>69</v>
      </c>
      <c r="C22" s="7" t="s">
        <v>263</v>
      </c>
      <c r="D22" s="7">
        <v>1.0</v>
      </c>
      <c r="T22" s="7" t="s">
        <v>57</v>
      </c>
      <c r="U22" s="7">
        <v>4.0</v>
      </c>
      <c r="V22" s="7">
        <v>4.0</v>
      </c>
      <c r="AF22" s="7" t="s">
        <v>260</v>
      </c>
      <c r="AG22" s="9" t="s">
        <v>261</v>
      </c>
      <c r="AH22" s="7" t="s">
        <v>61</v>
      </c>
      <c r="AI22" s="7" t="s">
        <v>68</v>
      </c>
      <c r="AJ22" s="7" t="s">
        <v>264</v>
      </c>
      <c r="AK22" s="7">
        <v>31637.0</v>
      </c>
      <c r="AM22" s="7" t="s">
        <v>265</v>
      </c>
      <c r="AN22" s="7" t="s">
        <v>266</v>
      </c>
      <c r="AT22" s="7">
        <v>3.0</v>
      </c>
      <c r="AV22" s="7">
        <v>2.0</v>
      </c>
      <c r="AX22" s="7">
        <v>2.0</v>
      </c>
      <c r="BA22" s="7">
        <v>1.0</v>
      </c>
    </row>
    <row r="23">
      <c r="A23" s="30" t="str">
        <f t="shared" si="1"/>
        <v>6</v>
      </c>
      <c r="B23" s="7" t="s">
        <v>69</v>
      </c>
      <c r="C23" s="7" t="s">
        <v>303</v>
      </c>
      <c r="D23" s="7">
        <v>1.0</v>
      </c>
      <c r="T23" s="7" t="s">
        <v>70</v>
      </c>
      <c r="AF23" s="7" t="s">
        <v>304</v>
      </c>
      <c r="AG23" s="9" t="s">
        <v>305</v>
      </c>
      <c r="AH23" s="7" t="s">
        <v>83</v>
      </c>
      <c r="AI23" s="7" t="s">
        <v>68</v>
      </c>
      <c r="AJ23" s="7" t="s">
        <v>306</v>
      </c>
      <c r="AK23" s="7">
        <v>89434.0</v>
      </c>
      <c r="AM23" s="7" t="s">
        <v>303</v>
      </c>
      <c r="AN23" s="7" t="s">
        <v>307</v>
      </c>
      <c r="AT23" s="7">
        <v>1.0</v>
      </c>
      <c r="AV23" s="7">
        <v>1.0</v>
      </c>
      <c r="AW23" s="7">
        <v>1.0</v>
      </c>
      <c r="AX23" s="7">
        <v>1.0</v>
      </c>
    </row>
    <row r="24">
      <c r="A24" s="30" t="str">
        <f t="shared" si="1"/>
        <v>6</v>
      </c>
      <c r="B24" s="7" t="s">
        <v>69</v>
      </c>
      <c r="C24" s="7" t="s">
        <v>308</v>
      </c>
      <c r="I24" s="7">
        <v>2.0</v>
      </c>
      <c r="T24" s="7" t="s">
        <v>70</v>
      </c>
      <c r="AF24" s="7" t="s">
        <v>309</v>
      </c>
      <c r="AG24" s="9" t="s">
        <v>310</v>
      </c>
      <c r="AH24" s="7" t="s">
        <v>67</v>
      </c>
      <c r="AI24" s="7" t="s">
        <v>62</v>
      </c>
      <c r="AJ24" s="7" t="s">
        <v>311</v>
      </c>
      <c r="AM24" s="7" t="s">
        <v>199</v>
      </c>
      <c r="AN24" s="7" t="s">
        <v>312</v>
      </c>
    </row>
    <row r="25">
      <c r="A25" s="30" t="str">
        <f t="shared" si="1"/>
        <v>6</v>
      </c>
      <c r="B25" s="7" t="s">
        <v>69</v>
      </c>
      <c r="C25" s="7" t="s">
        <v>313</v>
      </c>
      <c r="D25" s="7">
        <v>2.0</v>
      </c>
      <c r="T25" s="7" t="s">
        <v>70</v>
      </c>
      <c r="AF25" s="7" t="s">
        <v>314</v>
      </c>
      <c r="AG25" s="9" t="s">
        <v>315</v>
      </c>
      <c r="AH25" s="7" t="s">
        <v>67</v>
      </c>
      <c r="AI25" s="7" t="s">
        <v>68</v>
      </c>
      <c r="AK25" s="7">
        <v>94879.0</v>
      </c>
      <c r="AM25" s="7" t="s">
        <v>313</v>
      </c>
      <c r="AN25" s="7" t="s">
        <v>316</v>
      </c>
    </row>
    <row r="26">
      <c r="A26" s="30" t="str">
        <f t="shared" si="1"/>
        <v>6</v>
      </c>
      <c r="B26" s="7" t="s">
        <v>69</v>
      </c>
      <c r="C26" s="7" t="s">
        <v>339</v>
      </c>
      <c r="G26" s="7">
        <v>1.0</v>
      </c>
      <c r="H26" s="7" t="s">
        <v>439</v>
      </c>
      <c r="I26" s="7">
        <v>1.0</v>
      </c>
      <c r="T26" s="7" t="s">
        <v>70</v>
      </c>
      <c r="AF26" s="7" t="s">
        <v>340</v>
      </c>
      <c r="AG26" s="9" t="s">
        <v>341</v>
      </c>
      <c r="AH26" s="7" t="s">
        <v>83</v>
      </c>
      <c r="AI26" s="7" t="s">
        <v>68</v>
      </c>
      <c r="AK26" s="7">
        <v>97121.0</v>
      </c>
      <c r="AM26" s="7" t="s">
        <v>339</v>
      </c>
      <c r="AN26" s="7" t="s">
        <v>342</v>
      </c>
      <c r="AV26" s="7">
        <v>1.0</v>
      </c>
      <c r="AW26" s="7">
        <v>2.0</v>
      </c>
      <c r="AX26" s="7">
        <v>2.0</v>
      </c>
    </row>
    <row r="27">
      <c r="A27" s="30" t="str">
        <f t="shared" si="1"/>
        <v>6</v>
      </c>
      <c r="B27" s="7" t="s">
        <v>69</v>
      </c>
      <c r="C27" s="7" t="s">
        <v>354</v>
      </c>
      <c r="W27" s="7">
        <v>10.0</v>
      </c>
      <c r="AF27" s="7" t="s">
        <v>355</v>
      </c>
      <c r="AG27" s="9" t="s">
        <v>356</v>
      </c>
      <c r="AH27" s="7" t="s">
        <v>67</v>
      </c>
      <c r="AI27" s="7" t="s">
        <v>68</v>
      </c>
      <c r="AK27" s="7">
        <v>29550.0</v>
      </c>
      <c r="AM27" s="7" t="s">
        <v>354</v>
      </c>
      <c r="AN27" s="7" t="s">
        <v>357</v>
      </c>
    </row>
    <row r="28">
      <c r="A28" s="30" t="str">
        <f t="shared" si="1"/>
        <v>6</v>
      </c>
      <c r="B28" s="7" t="s">
        <v>69</v>
      </c>
      <c r="C28" s="7" t="s">
        <v>378</v>
      </c>
      <c r="D28" s="7">
        <v>1.0</v>
      </c>
      <c r="J28" s="7">
        <v>1.0</v>
      </c>
      <c r="T28" s="7" t="s">
        <v>57</v>
      </c>
      <c r="V28" s="7">
        <v>1.0</v>
      </c>
      <c r="AF28" s="7" t="s">
        <v>379</v>
      </c>
      <c r="AG28" s="9" t="s">
        <v>380</v>
      </c>
      <c r="AH28" s="7" t="s">
        <v>103</v>
      </c>
      <c r="AI28" s="7" t="s">
        <v>68</v>
      </c>
      <c r="AK28" s="7">
        <v>45171.0</v>
      </c>
      <c r="AM28" s="7" t="s">
        <v>378</v>
      </c>
      <c r="AN28" s="7">
        <v>551005.0</v>
      </c>
      <c r="AS28" s="7">
        <v>1.0</v>
      </c>
      <c r="AU28" s="7">
        <v>2.0</v>
      </c>
      <c r="AV28" s="7">
        <v>6.0</v>
      </c>
    </row>
    <row r="29">
      <c r="A29" s="30" t="str">
        <f t="shared" si="1"/>
        <v>6</v>
      </c>
      <c r="B29" s="7" t="s">
        <v>69</v>
      </c>
      <c r="C29" s="7" t="s">
        <v>384</v>
      </c>
      <c r="E29" s="7">
        <v>2.0</v>
      </c>
      <c r="F29" s="7" t="s">
        <v>329</v>
      </c>
      <c r="T29" s="7" t="s">
        <v>57</v>
      </c>
      <c r="U29" s="7">
        <v>1.0</v>
      </c>
      <c r="V29" s="7">
        <v>1.0</v>
      </c>
      <c r="AF29" s="7" t="s">
        <v>385</v>
      </c>
      <c r="AG29" s="9" t="s">
        <v>386</v>
      </c>
      <c r="AH29" s="7" t="s">
        <v>61</v>
      </c>
      <c r="AI29" s="7" t="s">
        <v>62</v>
      </c>
      <c r="AM29" s="7" t="s">
        <v>384</v>
      </c>
      <c r="AN29" s="7" t="s">
        <v>387</v>
      </c>
      <c r="AT29" s="7">
        <v>1.0</v>
      </c>
      <c r="AU29" s="7"/>
      <c r="AV29" s="7">
        <v>5.0</v>
      </c>
    </row>
    <row r="30">
      <c r="A30" s="30" t="str">
        <f t="shared" si="1"/>
        <v>6</v>
      </c>
      <c r="B30" s="7" t="s">
        <v>69</v>
      </c>
      <c r="C30" s="7" t="s">
        <v>388</v>
      </c>
      <c r="I30" s="7">
        <v>1.0</v>
      </c>
      <c r="T30" s="7" t="s">
        <v>70</v>
      </c>
      <c r="Z30" s="7">
        <v>1.0</v>
      </c>
      <c r="AA30" s="7">
        <v>2.0</v>
      </c>
      <c r="AF30" s="7" t="s">
        <v>389</v>
      </c>
      <c r="AG30" s="9" t="s">
        <v>390</v>
      </c>
      <c r="AH30" s="7" t="s">
        <v>67</v>
      </c>
      <c r="AI30" s="7" t="s">
        <v>68</v>
      </c>
      <c r="AK30" s="7">
        <v>13743.0</v>
      </c>
      <c r="AM30" s="7" t="s">
        <v>388</v>
      </c>
      <c r="AN30" s="7" t="s">
        <v>391</v>
      </c>
      <c r="AU30" s="7">
        <v>2.0</v>
      </c>
    </row>
    <row r="31">
      <c r="A31" s="30" t="str">
        <f t="shared" si="1"/>
        <v>6</v>
      </c>
      <c r="B31" s="7" t="s">
        <v>69</v>
      </c>
      <c r="C31" s="7" t="s">
        <v>392</v>
      </c>
      <c r="I31" s="7">
        <v>1.0</v>
      </c>
      <c r="T31" s="7" t="s">
        <v>70</v>
      </c>
      <c r="AF31" s="7" t="s">
        <v>393</v>
      </c>
      <c r="AG31" s="9" t="s">
        <v>394</v>
      </c>
      <c r="AH31" s="7" t="s">
        <v>67</v>
      </c>
      <c r="AI31" s="7" t="s">
        <v>68</v>
      </c>
      <c r="AK31" s="9" t="s">
        <v>395</v>
      </c>
      <c r="AM31" s="7" t="s">
        <v>396</v>
      </c>
      <c r="AN31" s="7" t="s">
        <v>397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IF($B1="取貨方式","0", 
 IF($B1="12/17(三) 12:00 - 13:00 暨大人文學院國比系辦","1", 
 IF($B1="12/18 (四) 12:00 - 13:00 暨大人文學院國比系辦","2", 
 IF($B1="台大與曉雯老師面交", "3", 
 IF($B1="宜蘭與曉雯老師面交","4",
 IF($B1="埔里小川商店 (南投縣埔里鎮北環路 246 號巷 28 號)","5",
 IF($B1="郵寄到家（未滿 $1000 運費 65；郵寄同一地址訂購 $1000 以上免運費) (寄出日期 12/14- 12/22)","6","")
 ))))))</f>
        <v>0</v>
      </c>
      <c r="B1" s="8" t="s">
        <v>35</v>
      </c>
      <c r="C1" s="8" t="s">
        <v>28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M1" s="8" t="s">
        <v>36</v>
      </c>
      <c r="AN1" s="8" t="s">
        <v>37</v>
      </c>
      <c r="AO1" s="6" t="s">
        <v>39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11</v>
      </c>
      <c r="BD1" s="6" t="s">
        <v>54</v>
      </c>
    </row>
    <row r="2">
      <c r="A2" s="31" t="s">
        <v>440</v>
      </c>
    </row>
    <row r="3">
      <c r="A3" s="32">
        <v>45993.81678288194</v>
      </c>
      <c r="B3" s="7" t="s">
        <v>55</v>
      </c>
      <c r="D3" s="7">
        <v>2.0</v>
      </c>
      <c r="E3" s="7" t="s">
        <v>204</v>
      </c>
      <c r="G3" s="7" t="s">
        <v>441</v>
      </c>
      <c r="S3" s="7" t="s">
        <v>70</v>
      </c>
      <c r="AD3" s="7" t="s">
        <v>199</v>
      </c>
      <c r="AE3" s="7" t="s">
        <v>200</v>
      </c>
      <c r="AF3" s="9" t="s">
        <v>201</v>
      </c>
      <c r="AG3" s="7" t="s">
        <v>61</v>
      </c>
      <c r="AH3" s="7" t="s">
        <v>68</v>
      </c>
      <c r="AI3" s="7" t="s">
        <v>202</v>
      </c>
      <c r="AJ3" s="7">
        <v>11111.0</v>
      </c>
      <c r="AK3" s="7" t="s">
        <v>69</v>
      </c>
      <c r="AL3" s="7" t="s">
        <v>199</v>
      </c>
      <c r="AM3" s="7" t="s">
        <v>203</v>
      </c>
    </row>
    <row r="4">
      <c r="A4" s="32">
        <v>45993.37513215278</v>
      </c>
      <c r="B4" s="7" t="s">
        <v>55</v>
      </c>
      <c r="F4" s="7">
        <v>2.0</v>
      </c>
      <c r="G4" s="7" t="s">
        <v>441</v>
      </c>
      <c r="I4" s="7">
        <v>1.0</v>
      </c>
      <c r="S4" s="7" t="s">
        <v>70</v>
      </c>
      <c r="AD4" s="7" t="s">
        <v>187</v>
      </c>
      <c r="AE4" s="7" t="s">
        <v>188</v>
      </c>
      <c r="AF4" s="9" t="s">
        <v>189</v>
      </c>
      <c r="AG4" s="7" t="s">
        <v>67</v>
      </c>
      <c r="AH4" s="7" t="s">
        <v>62</v>
      </c>
      <c r="AK4" s="7" t="s">
        <v>69</v>
      </c>
      <c r="AL4" s="7" t="s">
        <v>187</v>
      </c>
      <c r="AM4" s="7" t="s">
        <v>190</v>
      </c>
      <c r="AT4" s="7">
        <v>1.0</v>
      </c>
      <c r="AU4" s="7">
        <v>2.0</v>
      </c>
      <c r="AW4" s="7">
        <v>5.0</v>
      </c>
    </row>
    <row r="5">
      <c r="A5" s="6" t="str">
        <f t="shared" ref="A5:A8" si="1">IF($B5="取貨方式","0", 
 IF($B5="12/17(三) 12:00 - 13:00 暨大人文學院國比系辦","1", 
 IF($B5="12/18 (四) 12:00 - 13:00 暨大人文學院國比系辦","2", 
 IF($B5="台大與曉雯老師面交", "3", 
 IF($B5="宜蘭與曉雯老師面交","4",
 IF($B5="埔里小川商店 (南投縣埔里鎮北環路 246 號巷 28 號)","5",
 IF($B5="郵寄到家（未滿 $1000 運費 65；郵寄同一地址訂購 $1000 以上免運費) (寄出日期 12/14- 12/22)","6","")
 ))))))</f>
        <v>6</v>
      </c>
      <c r="B5" s="7" t="s">
        <v>69</v>
      </c>
      <c r="C5" s="7" t="s">
        <v>199</v>
      </c>
      <c r="D5" s="7">
        <v>2.0</v>
      </c>
      <c r="I5" s="7">
        <v>1.0</v>
      </c>
      <c r="T5" s="7" t="s">
        <v>70</v>
      </c>
      <c r="AD5" s="7" t="s">
        <v>199</v>
      </c>
      <c r="AF5" s="7" t="s">
        <v>200</v>
      </c>
      <c r="AG5" s="9" t="s">
        <v>201</v>
      </c>
      <c r="AH5" s="7" t="s">
        <v>67</v>
      </c>
      <c r="AI5" s="7" t="s">
        <v>68</v>
      </c>
      <c r="AJ5" s="7" t="s">
        <v>202</v>
      </c>
      <c r="AK5" s="7">
        <v>11111.0</v>
      </c>
      <c r="AM5" s="7" t="s">
        <v>199</v>
      </c>
      <c r="AN5" s="7" t="s">
        <v>203</v>
      </c>
    </row>
    <row r="6">
      <c r="A6" s="6" t="str">
        <f t="shared" si="1"/>
        <v>6</v>
      </c>
      <c r="B6" s="10" t="s">
        <v>69</v>
      </c>
      <c r="C6" s="10" t="s">
        <v>199</v>
      </c>
      <c r="D6" s="11"/>
      <c r="E6" s="10">
        <v>2.0</v>
      </c>
      <c r="F6" s="10" t="s">
        <v>204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0" t="s">
        <v>70</v>
      </c>
      <c r="U6" s="11"/>
      <c r="V6" s="11"/>
      <c r="W6" s="11"/>
      <c r="X6" s="11"/>
      <c r="Y6" s="11"/>
      <c r="Z6" s="11"/>
      <c r="AA6" s="11"/>
      <c r="AB6" s="11"/>
      <c r="AC6" s="11"/>
      <c r="AD6" s="10" t="s">
        <v>199</v>
      </c>
      <c r="AF6" s="10" t="s">
        <v>200</v>
      </c>
      <c r="AG6" s="12" t="s">
        <v>201</v>
      </c>
      <c r="AH6" s="10" t="s">
        <v>61</v>
      </c>
      <c r="AI6" s="10" t="s">
        <v>68</v>
      </c>
      <c r="AJ6" s="10" t="s">
        <v>202</v>
      </c>
      <c r="AK6" s="10">
        <v>11111.0</v>
      </c>
      <c r="AM6" s="10" t="s">
        <v>199</v>
      </c>
      <c r="AN6" s="10" t="s">
        <v>203</v>
      </c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>
      <c r="A7" s="28" t="str">
        <f t="shared" si="1"/>
        <v>5</v>
      </c>
      <c r="B7" s="29" t="s">
        <v>144</v>
      </c>
      <c r="C7" s="29" t="s">
        <v>209</v>
      </c>
      <c r="E7" s="7">
        <v>1.0</v>
      </c>
      <c r="F7" s="7" t="s">
        <v>208</v>
      </c>
      <c r="J7" s="7">
        <v>1.0</v>
      </c>
      <c r="T7" s="7" t="s">
        <v>70</v>
      </c>
      <c r="AF7" s="7" t="s">
        <v>210</v>
      </c>
      <c r="AG7" s="9" t="s">
        <v>211</v>
      </c>
      <c r="AH7" s="7" t="s">
        <v>67</v>
      </c>
      <c r="AI7" s="7" t="s">
        <v>62</v>
      </c>
    </row>
    <row r="8">
      <c r="A8" s="24" t="str">
        <f t="shared" si="1"/>
        <v>3</v>
      </c>
      <c r="B8" s="25" t="s">
        <v>171</v>
      </c>
      <c r="C8" s="25" t="s">
        <v>372</v>
      </c>
      <c r="E8" s="7">
        <v>2.0</v>
      </c>
      <c r="I8" s="7">
        <v>1.0</v>
      </c>
      <c r="T8" s="7" t="s">
        <v>57</v>
      </c>
      <c r="V8" s="7">
        <v>3.0</v>
      </c>
      <c r="AF8" s="7" t="s">
        <v>373</v>
      </c>
      <c r="AG8" s="9" t="s">
        <v>374</v>
      </c>
      <c r="AH8" s="7" t="s">
        <v>67</v>
      </c>
      <c r="AI8" s="7" t="s">
        <v>62</v>
      </c>
      <c r="AS8" s="7">
        <v>1.0</v>
      </c>
      <c r="AX8" s="7">
        <v>1.0</v>
      </c>
    </row>
    <row r="11">
      <c r="A11" s="31" t="s">
        <v>442</v>
      </c>
      <c r="C11" s="7" t="s">
        <v>443</v>
      </c>
    </row>
    <row r="12">
      <c r="A12" s="32">
        <v>45997.955970254625</v>
      </c>
      <c r="B12" s="7" t="s">
        <v>55</v>
      </c>
      <c r="C12" s="7">
        <v>1.0</v>
      </c>
      <c r="I12" s="7">
        <v>1.0</v>
      </c>
      <c r="S12" s="7" t="s">
        <v>57</v>
      </c>
      <c r="U12" s="7">
        <v>1.0</v>
      </c>
      <c r="AD12" s="7" t="s">
        <v>378</v>
      </c>
      <c r="AE12" s="7" t="s">
        <v>379</v>
      </c>
      <c r="AF12" s="9" t="s">
        <v>380</v>
      </c>
      <c r="AG12" s="7" t="s">
        <v>103</v>
      </c>
      <c r="AH12" s="7" t="s">
        <v>68</v>
      </c>
      <c r="AJ12" s="7">
        <v>45171.0</v>
      </c>
      <c r="AK12" s="7" t="s">
        <v>69</v>
      </c>
      <c r="AL12" s="7" t="s">
        <v>378</v>
      </c>
      <c r="AM12" s="7">
        <v>551005.0</v>
      </c>
      <c r="AT12" s="7">
        <v>1.0</v>
      </c>
      <c r="AV12" s="7">
        <v>2.0</v>
      </c>
      <c r="AW12" s="7">
        <v>6.0</v>
      </c>
    </row>
    <row r="13" ht="15.0" customHeight="1">
      <c r="A13" s="32">
        <v>45998.36747363426</v>
      </c>
      <c r="B13" s="7" t="s">
        <v>55</v>
      </c>
      <c r="H13" s="7">
        <v>1.0</v>
      </c>
      <c r="S13" s="7" t="s">
        <v>70</v>
      </c>
      <c r="Y13" s="7">
        <v>1.0</v>
      </c>
      <c r="Z13" s="7">
        <v>2.0</v>
      </c>
      <c r="AD13" s="7" t="s">
        <v>388</v>
      </c>
      <c r="AE13" s="7" t="s">
        <v>389</v>
      </c>
      <c r="AF13" s="9" t="s">
        <v>390</v>
      </c>
      <c r="AG13" s="7" t="s">
        <v>67</v>
      </c>
      <c r="AH13" s="7" t="s">
        <v>68</v>
      </c>
      <c r="AJ13" s="7">
        <v>13743.0</v>
      </c>
      <c r="AK13" s="7" t="s">
        <v>69</v>
      </c>
      <c r="AL13" s="7" t="s">
        <v>388</v>
      </c>
      <c r="AM13" s="7" t="s">
        <v>391</v>
      </c>
      <c r="AV13" s="7">
        <v>2.0</v>
      </c>
    </row>
    <row r="14">
      <c r="A14" s="32">
        <v>45998.47083988426</v>
      </c>
      <c r="B14" s="7" t="s">
        <v>55</v>
      </c>
      <c r="C14" s="7">
        <v>4.0</v>
      </c>
      <c r="D14" s="7">
        <v>1.0</v>
      </c>
      <c r="E14" s="7" t="s">
        <v>398</v>
      </c>
      <c r="I14" s="7">
        <v>1.0</v>
      </c>
      <c r="S14" s="7" t="s">
        <v>57</v>
      </c>
      <c r="T14" s="7">
        <v>15.0</v>
      </c>
      <c r="AD14" s="7" t="s">
        <v>399</v>
      </c>
      <c r="AE14" s="7" t="s">
        <v>400</v>
      </c>
      <c r="AF14" s="9" t="s">
        <v>401</v>
      </c>
      <c r="AG14" s="7" t="s">
        <v>67</v>
      </c>
      <c r="AH14" s="7" t="s">
        <v>68</v>
      </c>
      <c r="AJ14" s="7">
        <v>40236.0</v>
      </c>
      <c r="AK14" s="7" t="s">
        <v>171</v>
      </c>
      <c r="AT14" s="7">
        <v>2.0</v>
      </c>
      <c r="AU14" s="7">
        <v>4.0</v>
      </c>
      <c r="AV14" s="7">
        <v>1.0</v>
      </c>
      <c r="AW14" s="7">
        <v>12.0</v>
      </c>
      <c r="AX14" s="7">
        <v>36.0</v>
      </c>
    </row>
    <row r="16">
      <c r="A16" s="31" t="s">
        <v>444</v>
      </c>
    </row>
    <row r="17" ht="17.25" customHeight="1">
      <c r="A17" s="6" t="str">
        <f t="shared" ref="A17:A19" si="2">IF($B17="取貨方式","0", 
 IF($B17="12/17(三) 12:00 - 13:00 暨大人文學院國比系辦","1", 
 IF($B17="12/18 (四) 12:00 - 13:00 暨大人文學院國比系辦","2", 
 IF($B17="台大與曉雯老師面交", "3", 
 IF($B17="宜蘭與曉雯老師面交","4",
 IF($B17="埔里小川商店 (南投縣埔里鎮北環路 246 號巷 28 號)","5",
 IF($B17="郵寄到家（未滿 $1000 運費 65；郵寄同一地址訂購 $1000 以上免運費) (寄出日期 12/14- 12/22)","6","")
 ))))))</f>
        <v>6</v>
      </c>
      <c r="B17" s="7" t="s">
        <v>69</v>
      </c>
      <c r="C17" s="7" t="s">
        <v>64</v>
      </c>
      <c r="D17" s="7">
        <v>1.0</v>
      </c>
      <c r="J17" s="7">
        <v>1.0</v>
      </c>
      <c r="T17" s="7" t="s">
        <v>57</v>
      </c>
      <c r="U17" s="7">
        <v>1.0</v>
      </c>
      <c r="AF17" s="7" t="s">
        <v>65</v>
      </c>
      <c r="AG17" s="9" t="s">
        <v>66</v>
      </c>
      <c r="AH17" s="7" t="s">
        <v>67</v>
      </c>
      <c r="AI17" s="7" t="s">
        <v>68</v>
      </c>
      <c r="AK17" s="7">
        <v>89423.0</v>
      </c>
      <c r="AM17" s="7" t="s">
        <v>64</v>
      </c>
      <c r="AN17" s="7">
        <v>408002.0</v>
      </c>
      <c r="AS17" s="7">
        <v>1.0</v>
      </c>
      <c r="AT17" s="7">
        <v>2.0</v>
      </c>
      <c r="AU17" s="7">
        <v>1.0</v>
      </c>
      <c r="AX17" s="7">
        <v>1.0</v>
      </c>
      <c r="BB17" s="7">
        <v>2.0</v>
      </c>
    </row>
    <row r="18">
      <c r="A18" s="6" t="str">
        <f t="shared" si="2"/>
        <v>6</v>
      </c>
      <c r="B18" s="7" t="s">
        <v>69</v>
      </c>
      <c r="C18" s="7" t="s">
        <v>222</v>
      </c>
      <c r="E18" s="7">
        <v>1.0</v>
      </c>
      <c r="F18" s="7" t="s">
        <v>56</v>
      </c>
      <c r="T18" s="7" t="s">
        <v>70</v>
      </c>
      <c r="AF18" s="7" t="s">
        <v>223</v>
      </c>
      <c r="AG18" s="9" t="s">
        <v>224</v>
      </c>
      <c r="AH18" s="7" t="s">
        <v>83</v>
      </c>
      <c r="AI18" s="7" t="s">
        <v>68</v>
      </c>
      <c r="AK18" s="9" t="s">
        <v>225</v>
      </c>
      <c r="AM18" s="7" t="s">
        <v>226</v>
      </c>
      <c r="AN18" s="7">
        <v>358006.0</v>
      </c>
    </row>
    <row r="19">
      <c r="A19" s="33" t="str">
        <f t="shared" si="2"/>
        <v>6</v>
      </c>
      <c r="B19" s="34" t="s">
        <v>69</v>
      </c>
      <c r="C19" s="34" t="s">
        <v>378</v>
      </c>
      <c r="D19" s="35">
        <v>1.0</v>
      </c>
      <c r="E19" s="34"/>
      <c r="F19" s="34"/>
      <c r="G19" s="34"/>
      <c r="H19" s="34"/>
      <c r="I19" s="34"/>
      <c r="J19" s="35">
        <v>1.0</v>
      </c>
      <c r="K19" s="34"/>
      <c r="L19" s="34"/>
      <c r="M19" s="34"/>
      <c r="N19" s="34"/>
      <c r="O19" s="34"/>
      <c r="P19" s="34"/>
      <c r="Q19" s="34"/>
      <c r="R19" s="34"/>
      <c r="S19" s="34"/>
      <c r="T19" s="34" t="s">
        <v>57</v>
      </c>
      <c r="U19" s="34"/>
      <c r="V19" s="35">
        <v>1.0</v>
      </c>
      <c r="W19" s="34"/>
      <c r="X19" s="34"/>
      <c r="Y19" s="34"/>
      <c r="Z19" s="34"/>
      <c r="AA19" s="34"/>
      <c r="AB19" s="34"/>
      <c r="AC19" s="34"/>
      <c r="AD19" s="34"/>
      <c r="AE19" s="34"/>
      <c r="AF19" s="34" t="s">
        <v>379</v>
      </c>
      <c r="AG19" s="36" t="s">
        <v>380</v>
      </c>
      <c r="AH19" s="34" t="s">
        <v>103</v>
      </c>
      <c r="AI19" s="34" t="s">
        <v>68</v>
      </c>
      <c r="AJ19" s="34"/>
      <c r="AK19" s="35">
        <v>45171.0</v>
      </c>
      <c r="AL19" s="34"/>
      <c r="AM19" s="34" t="s">
        <v>378</v>
      </c>
      <c r="AN19" s="35">
        <v>551005.0</v>
      </c>
      <c r="AO19" s="34"/>
      <c r="AP19" s="34"/>
      <c r="AQ19" s="34"/>
      <c r="AR19" s="34"/>
      <c r="AS19" s="35">
        <v>1.0</v>
      </c>
      <c r="AT19" s="34"/>
      <c r="AU19" s="35">
        <v>2.0</v>
      </c>
      <c r="AV19" s="35">
        <v>6.0</v>
      </c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</row>
    <row r="28" hidden="1"/>
    <row r="44">
      <c r="A44" s="37"/>
      <c r="B44" s="37"/>
      <c r="C44" s="38" t="s">
        <v>445</v>
      </c>
      <c r="D44" s="39" t="s">
        <v>403</v>
      </c>
    </row>
    <row r="45">
      <c r="A45" s="37"/>
      <c r="B45" s="37"/>
      <c r="C45" s="38"/>
      <c r="D45" s="39"/>
    </row>
    <row r="46">
      <c r="A46" s="40" t="s">
        <v>403</v>
      </c>
      <c r="B46" s="37"/>
      <c r="C46" s="37" t="str">
        <f>SUM(#REF!)</f>
        <v>#REF!</v>
      </c>
      <c r="D46" s="37"/>
    </row>
    <row r="47">
      <c r="A47" s="41" t="s">
        <v>404</v>
      </c>
      <c r="B47" s="41"/>
      <c r="C47" s="40" t="s">
        <v>446</v>
      </c>
      <c r="D47" s="40">
        <v>73.0</v>
      </c>
    </row>
    <row r="48">
      <c r="A48" s="41" t="s">
        <v>406</v>
      </c>
      <c r="B48" s="41"/>
      <c r="C48" s="40" t="s">
        <v>447</v>
      </c>
      <c r="D48" s="39" t="s">
        <v>448</v>
      </c>
    </row>
    <row r="49">
      <c r="A49" s="41" t="s">
        <v>408</v>
      </c>
      <c r="B49" s="41"/>
      <c r="C49" s="40" t="s">
        <v>449</v>
      </c>
      <c r="D49" s="39" t="s">
        <v>450</v>
      </c>
    </row>
    <row r="50">
      <c r="A50" s="41" t="s">
        <v>411</v>
      </c>
      <c r="B50" s="41"/>
      <c r="C50" s="40" t="s">
        <v>451</v>
      </c>
      <c r="D50" s="40">
        <v>145.0</v>
      </c>
    </row>
    <row r="51">
      <c r="A51" s="42" t="s">
        <v>413</v>
      </c>
      <c r="B51" s="41"/>
      <c r="C51" s="40" t="s">
        <v>452</v>
      </c>
      <c r="D51" s="40">
        <v>88.0</v>
      </c>
    </row>
    <row r="52">
      <c r="A52" s="41"/>
      <c r="B52" s="41"/>
      <c r="C52" s="37"/>
      <c r="D52" s="40"/>
    </row>
    <row r="53">
      <c r="A53" s="41" t="s">
        <v>415</v>
      </c>
      <c r="B53" s="41"/>
      <c r="C53" s="40" t="s">
        <v>453</v>
      </c>
      <c r="D53" s="40">
        <v>32.0</v>
      </c>
    </row>
    <row r="54">
      <c r="A54" s="41" t="s">
        <v>417</v>
      </c>
      <c r="B54" s="41"/>
      <c r="C54" s="40" t="s">
        <v>454</v>
      </c>
      <c r="D54" s="40">
        <v>28.0</v>
      </c>
    </row>
    <row r="55">
      <c r="A55" s="41" t="s">
        <v>419</v>
      </c>
      <c r="B55" s="41"/>
      <c r="C55" s="40">
        <v>10.0</v>
      </c>
      <c r="D55" s="40">
        <v>10.0</v>
      </c>
    </row>
    <row r="56">
      <c r="A56" s="41" t="s">
        <v>420</v>
      </c>
      <c r="B56" s="41"/>
      <c r="C56" s="40" t="s">
        <v>455</v>
      </c>
      <c r="D56" s="40">
        <v>111.0</v>
      </c>
    </row>
    <row r="57">
      <c r="A57" s="41" t="s">
        <v>422</v>
      </c>
      <c r="B57" s="41"/>
      <c r="C57" s="40">
        <v>0.0</v>
      </c>
      <c r="D57" s="40">
        <v>0.0</v>
      </c>
    </row>
    <row r="58">
      <c r="A58" s="41" t="s">
        <v>423</v>
      </c>
      <c r="B58" s="41"/>
      <c r="C58" s="40" t="s">
        <v>456</v>
      </c>
      <c r="D58" s="40">
        <v>22.0</v>
      </c>
    </row>
    <row r="59">
      <c r="A59" s="41" t="s">
        <v>425</v>
      </c>
      <c r="B59" s="41"/>
      <c r="C59" s="40" t="s">
        <v>457</v>
      </c>
      <c r="D59" s="40">
        <v>58.0</v>
      </c>
    </row>
    <row r="60">
      <c r="A60" s="41" t="s">
        <v>427</v>
      </c>
      <c r="B60" s="41"/>
      <c r="C60" s="40" t="s">
        <v>458</v>
      </c>
      <c r="D60" s="40">
        <v>55.0</v>
      </c>
    </row>
    <row r="61">
      <c r="A61" s="41" t="s">
        <v>429</v>
      </c>
      <c r="B61" s="41"/>
      <c r="C61" s="40" t="s">
        <v>459</v>
      </c>
      <c r="D61" s="40">
        <v>10.0</v>
      </c>
    </row>
    <row r="62">
      <c r="A62" s="42" t="s">
        <v>431</v>
      </c>
      <c r="B62" s="41"/>
      <c r="C62" s="40">
        <v>46.0</v>
      </c>
      <c r="D62" s="40">
        <v>45.0</v>
      </c>
    </row>
    <row r="63">
      <c r="A63" s="41" t="s">
        <v>432</v>
      </c>
      <c r="B63" s="41"/>
      <c r="C63" s="40">
        <v>47.0</v>
      </c>
      <c r="D63" s="40">
        <v>46.0</v>
      </c>
    </row>
    <row r="64">
      <c r="A64" s="41" t="s">
        <v>434</v>
      </c>
      <c r="B64" s="41"/>
      <c r="C64" s="40" t="s">
        <v>460</v>
      </c>
      <c r="D64" s="40">
        <v>21.0</v>
      </c>
    </row>
    <row r="65">
      <c r="A65" s="40" t="s">
        <v>433</v>
      </c>
      <c r="B65" s="37"/>
      <c r="C65" s="40">
        <v>6.0</v>
      </c>
      <c r="D65" s="40">
        <v>6.0</v>
      </c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8.25"/>
  </cols>
  <sheetData>
    <row r="1">
      <c r="A1" s="31" t="s">
        <v>461</v>
      </c>
      <c r="B1" s="31" t="s">
        <v>462</v>
      </c>
      <c r="C1" s="43" t="s">
        <v>463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7" t="s">
        <v>464</v>
      </c>
      <c r="B2" s="7" t="s">
        <v>465</v>
      </c>
    </row>
    <row r="3">
      <c r="A3" s="7" t="s">
        <v>466</v>
      </c>
      <c r="B3" s="7" t="s">
        <v>467</v>
      </c>
    </row>
    <row r="4">
      <c r="A4" s="7" t="s">
        <v>468</v>
      </c>
      <c r="B4" s="7" t="s">
        <v>465</v>
      </c>
    </row>
    <row r="5">
      <c r="A5" s="7" t="s">
        <v>469</v>
      </c>
      <c r="B5" s="7" t="s">
        <v>470</v>
      </c>
      <c r="D5" s="45"/>
    </row>
    <row r="6">
      <c r="A6" s="7" t="s">
        <v>471</v>
      </c>
      <c r="B6" s="7" t="s">
        <v>472</v>
      </c>
    </row>
    <row r="7">
      <c r="A7" s="7" t="s">
        <v>473</v>
      </c>
      <c r="B7" s="7" t="s">
        <v>465</v>
      </c>
    </row>
    <row r="8">
      <c r="A8" s="7" t="s">
        <v>474</v>
      </c>
      <c r="B8" s="7" t="s">
        <v>475</v>
      </c>
    </row>
    <row r="9">
      <c r="A9" s="7" t="s">
        <v>476</v>
      </c>
      <c r="B9" s="7" t="s">
        <v>465</v>
      </c>
    </row>
    <row r="10">
      <c r="A10" s="7" t="s">
        <v>477</v>
      </c>
      <c r="B10" s="7" t="s">
        <v>475</v>
      </c>
    </row>
    <row r="11">
      <c r="A11" s="7" t="s">
        <v>478</v>
      </c>
      <c r="B11" s="7" t="s">
        <v>479</v>
      </c>
    </row>
    <row r="12">
      <c r="A12" s="7" t="s">
        <v>480</v>
      </c>
      <c r="B12" s="7" t="s">
        <v>465</v>
      </c>
    </row>
    <row r="13">
      <c r="A13" s="7" t="s">
        <v>481</v>
      </c>
      <c r="B13" s="7" t="s">
        <v>465</v>
      </c>
    </row>
    <row r="14">
      <c r="A14" s="7"/>
    </row>
    <row r="15">
      <c r="A15" s="46" t="s">
        <v>403</v>
      </c>
      <c r="B15" s="14" t="s">
        <v>482</v>
      </c>
      <c r="C15" s="14">
        <v>8.0</v>
      </c>
    </row>
    <row r="16">
      <c r="A16" s="13"/>
      <c r="B16" s="14" t="s">
        <v>483</v>
      </c>
      <c r="C16" s="14">
        <v>13.0</v>
      </c>
    </row>
    <row r="17">
      <c r="A17" s="13"/>
      <c r="B17" s="14" t="s">
        <v>484</v>
      </c>
      <c r="C17" s="14">
        <v>13.0</v>
      </c>
    </row>
    <row r="18">
      <c r="A18" s="13"/>
      <c r="B18" s="14" t="s">
        <v>485</v>
      </c>
      <c r="C18" s="14">
        <v>3.0</v>
      </c>
    </row>
    <row r="19">
      <c r="A19" s="13"/>
      <c r="B19" s="14" t="s">
        <v>411</v>
      </c>
      <c r="C19" s="14">
        <v>4.0</v>
      </c>
    </row>
    <row r="20">
      <c r="A20" s="13"/>
      <c r="B20" s="14" t="s">
        <v>486</v>
      </c>
      <c r="C20" s="14">
        <v>7.0</v>
      </c>
    </row>
  </sheetData>
  <drawing r:id="rId1"/>
</worksheet>
</file>