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9395" windowHeight="7845"/>
  </bookViews>
  <sheets>
    <sheet name="工作表1" sheetId="1" r:id="rId1"/>
  </sheets>
  <calcPr calcId="145621"/>
</workbook>
</file>

<file path=xl/calcChain.xml><?xml version="1.0" encoding="utf-8"?>
<calcChain xmlns="http://schemas.openxmlformats.org/spreadsheetml/2006/main">
  <c r="O31" i="1" l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2" i="1"/>
  <c r="J31" i="1"/>
  <c r="D31" i="1" l="1"/>
  <c r="E31" i="1"/>
  <c r="F31" i="1"/>
  <c r="G31" i="1"/>
  <c r="H31" i="1"/>
  <c r="I31" i="1"/>
  <c r="C31" i="1"/>
</calcChain>
</file>

<file path=xl/sharedStrings.xml><?xml version="1.0" encoding="utf-8"?>
<sst xmlns="http://schemas.openxmlformats.org/spreadsheetml/2006/main" count="88" uniqueCount="85">
  <si>
    <t>黃鈺珊</t>
  </si>
  <si>
    <t>s103402049@ncnu.edu.tw</t>
  </si>
  <si>
    <t>沈曉彤</t>
  </si>
  <si>
    <t>claire2192@hotmail.com</t>
  </si>
  <si>
    <t>新北市新店區中央路181號17樓之2</t>
  </si>
  <si>
    <t>覆盆子果醬</t>
  </si>
  <si>
    <t>黃秀薰</t>
  </si>
  <si>
    <t>ses0054@yahoo.com.tw</t>
  </si>
  <si>
    <t>陳姿雰</t>
  </si>
  <si>
    <t>s104407022@mail1.ncnu.edu.tw</t>
  </si>
  <si>
    <t>吳奕靜</t>
  </si>
  <si>
    <t>s103101003@mail1.ncnu.edu.tw</t>
  </si>
  <si>
    <t>曾玟瑜</t>
  </si>
  <si>
    <t>nichiyobi519@gmail.com</t>
  </si>
  <si>
    <t>盧奕苓</t>
  </si>
  <si>
    <t>musicling_1008@hotmail.com</t>
  </si>
  <si>
    <t>吳虹儀</t>
  </si>
  <si>
    <t>irene.032895@gmail.com</t>
  </si>
  <si>
    <t>新北市蘆洲區三民路96號 (三民高中圖書館)</t>
  </si>
  <si>
    <t>蘋果果醬, 藍莓果醬, 覆盆子果醬</t>
  </si>
  <si>
    <t>林承龍</t>
  </si>
  <si>
    <t>0918209443或02-22894675分機310</t>
  </si>
  <si>
    <t>naturee@ms39.hinet.net</t>
  </si>
  <si>
    <t>蘋果果醬</t>
  </si>
  <si>
    <t>陳怡竹</t>
  </si>
  <si>
    <t>s104402512@ncnu.edu.tw</t>
  </si>
  <si>
    <t>陳曉蓉</t>
  </si>
  <si>
    <t>s102402048@mail1.ncnu.edu.tw</t>
  </si>
  <si>
    <t>藍莓果醬</t>
  </si>
  <si>
    <t>孫瑞聰</t>
  </si>
  <si>
    <t>thekickass08@gmail.com</t>
  </si>
  <si>
    <t>廖伯軒</t>
  </si>
  <si>
    <t>andy60465@gmail.com</t>
  </si>
  <si>
    <t>臺北市大安區和平東路一段179號5樓</t>
  </si>
  <si>
    <t>梁慈珊</t>
  </si>
  <si>
    <t>tzushan.liang@gmail.com</t>
  </si>
  <si>
    <t>新北市新店區民權路108-2號8樓 衛城出版</t>
  </si>
  <si>
    <t>夏君佩</t>
  </si>
  <si>
    <t>sealhsia@gmail.com</t>
  </si>
  <si>
    <t>陳達柔</t>
  </si>
  <si>
    <t>cc.oo82190@gmail.com</t>
  </si>
  <si>
    <t>陳佳坪</t>
  </si>
  <si>
    <t>love54133588@gmail.com</t>
  </si>
  <si>
    <t>陳香蓉</t>
  </si>
  <si>
    <t>s102402024@mail1.ncnu.edu.tw</t>
  </si>
  <si>
    <t>李昱瑮</t>
  </si>
  <si>
    <t>e030786@gmail.com</t>
  </si>
  <si>
    <t>曾妤璇</t>
  </si>
  <si>
    <t>s105402515@mail1.ncnu.edu.tw</t>
  </si>
  <si>
    <t>盧雅琦</t>
  </si>
  <si>
    <t>s104402030@mail1.ncnu.edu.tw</t>
  </si>
  <si>
    <t>蘇俐文</t>
  </si>
  <si>
    <t>sam50818@gmail.com</t>
  </si>
  <si>
    <t>時間戳記</t>
  </si>
  <si>
    <t>您的聯絡電話</t>
  </si>
  <si>
    <t>您的Email</t>
  </si>
  <si>
    <t>總金額</t>
  </si>
  <si>
    <r>
      <rPr>
        <sz val="10"/>
        <color theme="1"/>
        <rFont val="細明體"/>
        <family val="3"/>
        <charset val="136"/>
      </rPr>
      <t>蘋果果醬</t>
    </r>
    <r>
      <rPr>
        <sz val="10"/>
        <color theme="1"/>
        <rFont val="Arial"/>
        <family val="2"/>
      </rPr>
      <t xml:space="preserve"> 100</t>
    </r>
  </si>
  <si>
    <r>
      <rPr>
        <sz val="10"/>
        <color theme="1"/>
        <rFont val="細明體"/>
        <family val="3"/>
        <charset val="136"/>
      </rPr>
      <t>檸檬酸酪果醬</t>
    </r>
    <r>
      <rPr>
        <sz val="10"/>
        <color theme="1"/>
        <rFont val="Arial"/>
        <family val="2"/>
      </rPr>
      <t>100</t>
    </r>
  </si>
  <si>
    <r>
      <rPr>
        <sz val="10"/>
        <color theme="1"/>
        <rFont val="細明體"/>
        <family val="3"/>
        <charset val="136"/>
      </rPr>
      <t>藍莓蘋果果醬</t>
    </r>
    <r>
      <rPr>
        <sz val="10"/>
        <color theme="1"/>
        <rFont val="Arial"/>
        <family val="2"/>
      </rPr>
      <t>150</t>
    </r>
  </si>
  <si>
    <r>
      <rPr>
        <sz val="10"/>
        <color theme="1"/>
        <rFont val="細明體"/>
        <family val="3"/>
        <charset val="136"/>
      </rPr>
      <t>覆盆子蘋果果醬</t>
    </r>
    <r>
      <rPr>
        <sz val="10"/>
        <color theme="1"/>
        <rFont val="Arial"/>
        <family val="2"/>
      </rPr>
      <t>150</t>
    </r>
  </si>
  <si>
    <r>
      <rPr>
        <sz val="10"/>
        <color theme="1"/>
        <rFont val="細明體"/>
        <family val="3"/>
        <charset val="136"/>
      </rPr>
      <t>蔓越莓蘋果果醬</t>
    </r>
    <r>
      <rPr>
        <sz val="10"/>
        <color theme="1"/>
        <rFont val="Arial"/>
        <family val="2"/>
      </rPr>
      <t>150</t>
    </r>
    <r>
      <rPr>
        <sz val="10"/>
        <color theme="1"/>
        <rFont val="細明體"/>
        <family val="3"/>
        <charset val="136"/>
      </rPr>
      <t/>
    </r>
  </si>
  <si>
    <r>
      <rPr>
        <sz val="10"/>
        <color theme="1"/>
        <rFont val="細明體"/>
        <family val="3"/>
        <charset val="136"/>
      </rPr>
      <t>藍莓果醬</t>
    </r>
    <r>
      <rPr>
        <sz val="10"/>
        <color theme="1"/>
        <rFont val="Arial"/>
        <family val="2"/>
      </rPr>
      <t>180</t>
    </r>
    <r>
      <rPr>
        <sz val="10"/>
        <color theme="1"/>
        <rFont val="細明體"/>
        <family val="3"/>
        <charset val="136"/>
      </rPr>
      <t/>
    </r>
  </si>
  <si>
    <r>
      <rPr>
        <sz val="10"/>
        <color theme="1"/>
        <rFont val="細明體"/>
        <family val="3"/>
        <charset val="136"/>
      </rPr>
      <t>覆盆子果醬</t>
    </r>
    <r>
      <rPr>
        <sz val="10"/>
        <color theme="1"/>
        <rFont val="Arial"/>
        <family val="2"/>
      </rPr>
      <t>180</t>
    </r>
  </si>
  <si>
    <t>宅配地址</t>
    <phoneticPr fontId="3" type="noConversion"/>
  </si>
  <si>
    <t>買十送一</t>
    <phoneticPr fontId="3" type="noConversion"/>
  </si>
  <si>
    <t>姓名</t>
    <phoneticPr fontId="3" type="noConversion"/>
  </si>
  <si>
    <t>取貨狀況</t>
    <phoneticPr fontId="3" type="noConversion"/>
  </si>
  <si>
    <t>總計</t>
    <phoneticPr fontId="3" type="noConversion"/>
  </si>
  <si>
    <t>許彤（12/29）</t>
    <phoneticPr fontId="3" type="noConversion"/>
  </si>
  <si>
    <t>caricapricorn@gmail.com</t>
  </si>
  <si>
    <t>古德鈞秘書</t>
  </si>
  <si>
    <t>game70263@yahoo.com.tw</t>
  </si>
  <si>
    <t>李怡璇</t>
  </si>
  <si>
    <t>s104402032@mail1.ncnu.edu.tw</t>
  </si>
  <si>
    <t>洪滋轅（下週取貨）</t>
    <phoneticPr fontId="3" type="noConversion"/>
  </si>
  <si>
    <t>南投縣埔里鎮大學路521號53510室</t>
  </si>
  <si>
    <t>覆盆子果醬</t>
    <phoneticPr fontId="3" type="noConversion"/>
  </si>
  <si>
    <t>joan_ang98@outlook.com</t>
  </si>
  <si>
    <t>江依錦</t>
  </si>
  <si>
    <t>s10310023@mail1.ncnu. edu. tw</t>
  </si>
  <si>
    <t>鄭得悅</t>
  </si>
  <si>
    <t>wlugc811515@gmail.com</t>
  </si>
  <si>
    <t>覆盆子*3藍莓*4蘋果*3</t>
    <phoneticPr fontId="3" type="noConversion"/>
  </si>
  <si>
    <t>草莓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</si>
</sst>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/yyyy\ h:mm:ss"/>
  </numFmts>
  <fonts count="9" x14ac:knownFonts="1">
    <font>
      <sz val="12"/>
      <color theme="1"/>
      <name val="新細明體"/>
      <family val="2"/>
      <charset val="136"/>
      <scheme val="minor"/>
    </font>
    <font>
      <sz val="10"/>
      <color rgb="FF000000"/>
      <name val="Arial"/>
    </font>
    <font>
      <sz val="10"/>
      <name val="Arial"/>
      <family val="2"/>
    </font>
    <font>
      <sz val="9"/>
      <name val="新細明體"/>
      <family val="2"/>
      <charset val="136"/>
      <scheme val="minor"/>
    </font>
    <font>
      <sz val="10"/>
      <name val="細明體"/>
      <family val="3"/>
      <charset val="136"/>
    </font>
    <font>
      <sz val="10"/>
      <color theme="1"/>
      <name val="Arial"/>
      <family val="2"/>
    </font>
    <font>
      <sz val="10"/>
      <color theme="1"/>
      <name val="細明體"/>
      <family val="3"/>
      <charset val="136"/>
    </font>
    <font>
      <sz val="10"/>
      <color rgb="FF000000"/>
      <name val="細明體"/>
      <family val="3"/>
      <charset val="136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topLeftCell="B1" workbookViewId="0">
      <pane ySplit="1" topLeftCell="A2" activePane="bottomLeft" state="frozen"/>
      <selection pane="bottomLeft" activeCell="O31" sqref="O31"/>
    </sheetView>
  </sheetViews>
  <sheetFormatPr defaultRowHeight="16.5" x14ac:dyDescent="0.25"/>
  <cols>
    <col min="1" max="1" width="15.5" style="17" customWidth="1"/>
    <col min="2" max="8" width="9" style="17"/>
    <col min="9" max="10" width="9" style="17" customWidth="1"/>
    <col min="11" max="11" width="15.5" style="17" customWidth="1"/>
    <col min="12" max="12" width="9" style="17"/>
    <col min="13" max="13" width="16.25" style="17" customWidth="1"/>
    <col min="14" max="14" width="19.125" style="17" customWidth="1"/>
    <col min="15" max="16384" width="9" style="17"/>
  </cols>
  <sheetData>
    <row r="1" spans="1:16" ht="28.5" x14ac:dyDescent="0.25">
      <c r="A1" s="2" t="s">
        <v>53</v>
      </c>
      <c r="B1" s="3" t="s">
        <v>66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9" t="s">
        <v>84</v>
      </c>
      <c r="K1" s="4" t="s">
        <v>64</v>
      </c>
      <c r="L1" s="3" t="s">
        <v>65</v>
      </c>
      <c r="M1" s="5" t="s">
        <v>54</v>
      </c>
      <c r="N1" s="5" t="s">
        <v>55</v>
      </c>
      <c r="O1" s="5" t="s">
        <v>56</v>
      </c>
      <c r="P1" s="3" t="s">
        <v>67</v>
      </c>
    </row>
    <row r="2" spans="1:16" ht="25.5" x14ac:dyDescent="0.25">
      <c r="A2" s="6">
        <v>42706.454036446754</v>
      </c>
      <c r="B2" s="5" t="s">
        <v>0</v>
      </c>
      <c r="C2" s="2"/>
      <c r="D2" s="2"/>
      <c r="E2" s="2"/>
      <c r="F2" s="2"/>
      <c r="G2" s="2"/>
      <c r="H2" s="5">
        <v>1</v>
      </c>
      <c r="I2" s="5">
        <v>1</v>
      </c>
      <c r="J2" s="5"/>
      <c r="K2" s="2"/>
      <c r="L2" s="2"/>
      <c r="M2" s="5">
        <v>975281803</v>
      </c>
      <c r="N2" s="5" t="s">
        <v>1</v>
      </c>
      <c r="O2" s="7">
        <f>SUM(C2*100,D2*100,E2*150,F2*150,G2*150,H2*180,I2*180,J2*150)</f>
        <v>360</v>
      </c>
      <c r="P2" s="7"/>
    </row>
    <row r="3" spans="1:16" x14ac:dyDescent="0.25">
      <c r="A3" s="6">
        <v>42706.488561828708</v>
      </c>
      <c r="B3" s="5" t="s">
        <v>2</v>
      </c>
      <c r="C3" s="2"/>
      <c r="D3" s="5">
        <v>2</v>
      </c>
      <c r="E3" s="2"/>
      <c r="F3" s="2"/>
      <c r="G3" s="5">
        <v>1</v>
      </c>
      <c r="H3" s="2"/>
      <c r="I3" s="2"/>
      <c r="J3" s="2"/>
      <c r="K3" s="2"/>
      <c r="L3" s="2"/>
      <c r="M3" s="5">
        <v>905619995</v>
      </c>
      <c r="N3" s="5" t="s">
        <v>3</v>
      </c>
      <c r="O3" s="7">
        <f t="shared" ref="O3:O31" si="0">SUM(C3*100,D3*100,E3*150,F3*150,G3*150,H3*180,I3*180,J3*150)</f>
        <v>350</v>
      </c>
      <c r="P3" s="7"/>
    </row>
    <row r="4" spans="1:16" ht="25.5" x14ac:dyDescent="0.25">
      <c r="A4" s="6">
        <v>42706.863795752317</v>
      </c>
      <c r="B4" s="5" t="s">
        <v>6</v>
      </c>
      <c r="C4" s="5">
        <v>3</v>
      </c>
      <c r="D4" s="2"/>
      <c r="E4" s="5">
        <v>3</v>
      </c>
      <c r="F4" s="2"/>
      <c r="G4" s="2"/>
      <c r="H4" s="5">
        <v>4</v>
      </c>
      <c r="I4" s="2"/>
      <c r="J4" s="2"/>
      <c r="K4" s="5" t="s">
        <v>4</v>
      </c>
      <c r="L4" s="5" t="s">
        <v>5</v>
      </c>
      <c r="M4" s="5">
        <v>935807299</v>
      </c>
      <c r="N4" s="5" t="s">
        <v>7</v>
      </c>
      <c r="O4" s="7">
        <f t="shared" si="0"/>
        <v>1470</v>
      </c>
      <c r="P4" s="7"/>
    </row>
    <row r="5" spans="1:16" ht="25.5" x14ac:dyDescent="0.25">
      <c r="A5" s="6">
        <v>42707.761898124998</v>
      </c>
      <c r="B5" s="5" t="s">
        <v>8</v>
      </c>
      <c r="C5" s="2"/>
      <c r="D5" s="2"/>
      <c r="E5" s="2"/>
      <c r="F5" s="5">
        <v>1</v>
      </c>
      <c r="G5" s="2"/>
      <c r="H5" s="2"/>
      <c r="I5" s="2"/>
      <c r="J5" s="2"/>
      <c r="K5" s="2"/>
      <c r="L5" s="2"/>
      <c r="M5" s="5">
        <v>919459575</v>
      </c>
      <c r="N5" s="5" t="s">
        <v>9</v>
      </c>
      <c r="O5" s="7">
        <f t="shared" si="0"/>
        <v>150</v>
      </c>
      <c r="P5" s="7"/>
    </row>
    <row r="6" spans="1:16" ht="25.5" x14ac:dyDescent="0.25">
      <c r="A6" s="6">
        <v>42708.013854525459</v>
      </c>
      <c r="B6" s="5" t="s">
        <v>10</v>
      </c>
      <c r="C6" s="2"/>
      <c r="D6" s="2"/>
      <c r="E6" s="2"/>
      <c r="F6" s="5">
        <v>1</v>
      </c>
      <c r="G6" s="2"/>
      <c r="H6" s="2"/>
      <c r="I6" s="2"/>
      <c r="J6" s="2"/>
      <c r="K6" s="2"/>
      <c r="L6" s="2"/>
      <c r="M6" s="5">
        <v>937210047</v>
      </c>
      <c r="N6" s="5" t="s">
        <v>11</v>
      </c>
      <c r="O6" s="7">
        <f t="shared" si="0"/>
        <v>150</v>
      </c>
      <c r="P6" s="7"/>
    </row>
    <row r="7" spans="1:16" x14ac:dyDescent="0.25">
      <c r="A7" s="6">
        <v>42708.724159212958</v>
      </c>
      <c r="B7" s="5" t="s">
        <v>12</v>
      </c>
      <c r="C7" s="2"/>
      <c r="D7" s="5">
        <v>1</v>
      </c>
      <c r="E7" s="2"/>
      <c r="F7" s="2"/>
      <c r="G7" s="5">
        <v>2</v>
      </c>
      <c r="H7" s="2"/>
      <c r="I7" s="2"/>
      <c r="J7" s="2"/>
      <c r="K7" s="2"/>
      <c r="L7" s="2"/>
      <c r="M7" s="5">
        <v>936657659</v>
      </c>
      <c r="N7" s="5" t="s">
        <v>13</v>
      </c>
      <c r="O7" s="7">
        <f t="shared" si="0"/>
        <v>400</v>
      </c>
      <c r="P7" s="7"/>
    </row>
    <row r="8" spans="1:16" ht="25.5" x14ac:dyDescent="0.25">
      <c r="A8" s="6">
        <v>42709.619849432871</v>
      </c>
      <c r="B8" s="5" t="s">
        <v>14</v>
      </c>
      <c r="C8" s="2"/>
      <c r="D8" s="2"/>
      <c r="E8" s="2"/>
      <c r="F8" s="2"/>
      <c r="G8" s="2"/>
      <c r="H8" s="5">
        <v>5</v>
      </c>
      <c r="I8" s="2"/>
      <c r="J8" s="2"/>
      <c r="K8" s="2"/>
      <c r="L8" s="2"/>
      <c r="M8" s="5">
        <v>963547226</v>
      </c>
      <c r="N8" s="5" t="s">
        <v>15</v>
      </c>
      <c r="O8" s="7">
        <f t="shared" si="0"/>
        <v>900</v>
      </c>
      <c r="P8" s="7"/>
    </row>
    <row r="9" spans="1:16" x14ac:dyDescent="0.25">
      <c r="A9" s="6">
        <v>42709.803643310181</v>
      </c>
      <c r="B9" s="5" t="s">
        <v>16</v>
      </c>
      <c r="C9" s="2"/>
      <c r="D9" s="5">
        <v>1</v>
      </c>
      <c r="E9" s="2"/>
      <c r="F9" s="2"/>
      <c r="G9" s="2"/>
      <c r="H9" s="2"/>
      <c r="I9" s="2"/>
      <c r="J9" s="2"/>
      <c r="K9" s="2"/>
      <c r="L9" s="2"/>
      <c r="M9" s="5">
        <v>983662112</v>
      </c>
      <c r="N9" s="5" t="s">
        <v>17</v>
      </c>
      <c r="O9" s="7">
        <f t="shared" si="0"/>
        <v>100</v>
      </c>
      <c r="P9" s="7"/>
    </row>
    <row r="10" spans="1:16" ht="51" x14ac:dyDescent="0.25">
      <c r="A10" s="6">
        <v>42709.971464907409</v>
      </c>
      <c r="B10" s="5" t="s">
        <v>20</v>
      </c>
      <c r="C10" s="5">
        <v>6</v>
      </c>
      <c r="D10" s="2"/>
      <c r="E10" s="5">
        <v>2</v>
      </c>
      <c r="F10" s="5">
        <v>3</v>
      </c>
      <c r="G10" s="5">
        <v>1</v>
      </c>
      <c r="H10" s="5">
        <v>10</v>
      </c>
      <c r="I10" s="5">
        <v>8</v>
      </c>
      <c r="J10" s="5"/>
      <c r="K10" s="5" t="s">
        <v>18</v>
      </c>
      <c r="L10" s="5" t="s">
        <v>19</v>
      </c>
      <c r="M10" s="5" t="s">
        <v>21</v>
      </c>
      <c r="N10" s="5" t="s">
        <v>22</v>
      </c>
      <c r="O10" s="7">
        <f t="shared" si="0"/>
        <v>4740</v>
      </c>
      <c r="P10" s="7"/>
    </row>
    <row r="11" spans="1:16" ht="25.5" x14ac:dyDescent="0.25">
      <c r="A11" s="6">
        <v>42710.817818854164</v>
      </c>
      <c r="B11" s="5" t="s">
        <v>24</v>
      </c>
      <c r="C11" s="5">
        <v>1</v>
      </c>
      <c r="D11" s="2"/>
      <c r="E11" s="2"/>
      <c r="F11" s="2"/>
      <c r="G11" s="2"/>
      <c r="H11" s="2"/>
      <c r="I11" s="2"/>
      <c r="J11" s="2"/>
      <c r="K11" s="2"/>
      <c r="L11" s="5" t="s">
        <v>23</v>
      </c>
      <c r="M11" s="5">
        <v>911188724</v>
      </c>
      <c r="N11" s="5" t="s">
        <v>25</v>
      </c>
      <c r="O11" s="7">
        <f t="shared" si="0"/>
        <v>100</v>
      </c>
      <c r="P11" s="7"/>
    </row>
    <row r="12" spans="1:16" ht="25.5" x14ac:dyDescent="0.25">
      <c r="A12" s="6">
        <v>42710.827815277778</v>
      </c>
      <c r="B12" s="5" t="s">
        <v>26</v>
      </c>
      <c r="C12" s="5">
        <v>1</v>
      </c>
      <c r="D12" s="2"/>
      <c r="E12" s="2"/>
      <c r="F12" s="2"/>
      <c r="G12" s="2"/>
      <c r="H12" s="2"/>
      <c r="I12" s="2"/>
      <c r="J12" s="2"/>
      <c r="K12" s="2"/>
      <c r="L12" s="5" t="s">
        <v>23</v>
      </c>
      <c r="M12" s="5">
        <v>937147652</v>
      </c>
      <c r="N12" s="5" t="s">
        <v>27</v>
      </c>
      <c r="O12" s="7">
        <f t="shared" si="0"/>
        <v>100</v>
      </c>
      <c r="P12" s="7"/>
    </row>
    <row r="13" spans="1:16" ht="25.5" x14ac:dyDescent="0.25">
      <c r="A13" s="6">
        <v>42710.987156284726</v>
      </c>
      <c r="B13" s="5" t="s">
        <v>29</v>
      </c>
      <c r="C13" s="5">
        <v>5</v>
      </c>
      <c r="D13" s="2"/>
      <c r="E13" s="5">
        <v>3</v>
      </c>
      <c r="F13" s="5">
        <v>1</v>
      </c>
      <c r="G13" s="5">
        <v>1</v>
      </c>
      <c r="H13" s="2"/>
      <c r="I13" s="2"/>
      <c r="J13" s="2"/>
      <c r="K13" s="2"/>
      <c r="L13" s="5" t="s">
        <v>28</v>
      </c>
      <c r="M13" s="5">
        <v>911434398</v>
      </c>
      <c r="N13" s="5" t="s">
        <v>30</v>
      </c>
      <c r="O13" s="7">
        <f t="shared" si="0"/>
        <v>1250</v>
      </c>
      <c r="P13" s="7"/>
    </row>
    <row r="14" spans="1:16" x14ac:dyDescent="0.25">
      <c r="A14" s="6">
        <v>42711.669781249999</v>
      </c>
      <c r="B14" s="5" t="s">
        <v>31</v>
      </c>
      <c r="C14" s="2"/>
      <c r="D14" s="5">
        <v>1</v>
      </c>
      <c r="E14" s="2"/>
      <c r="F14" s="2"/>
      <c r="G14" s="2"/>
      <c r="H14" s="2"/>
      <c r="I14" s="2"/>
      <c r="J14" s="2"/>
      <c r="K14" s="2"/>
      <c r="L14" s="2"/>
      <c r="M14" s="5">
        <v>988136454</v>
      </c>
      <c r="N14" s="5" t="s">
        <v>32</v>
      </c>
      <c r="O14" s="7">
        <f t="shared" si="0"/>
        <v>100</v>
      </c>
      <c r="P14" s="7"/>
    </row>
    <row r="15" spans="1:16" ht="25.5" x14ac:dyDescent="0.25">
      <c r="A15" s="6">
        <v>42711.725148715283</v>
      </c>
      <c r="B15" s="5" t="s">
        <v>34</v>
      </c>
      <c r="C15" s="5">
        <v>4</v>
      </c>
      <c r="D15" s="2"/>
      <c r="E15" s="5">
        <v>4</v>
      </c>
      <c r="F15" s="5">
        <v>1</v>
      </c>
      <c r="G15" s="5">
        <v>1</v>
      </c>
      <c r="H15" s="5">
        <v>1</v>
      </c>
      <c r="I15" s="5">
        <v>1</v>
      </c>
      <c r="J15" s="5">
        <v>3</v>
      </c>
      <c r="K15" s="5" t="s">
        <v>33</v>
      </c>
      <c r="L15" s="5" t="s">
        <v>28</v>
      </c>
      <c r="M15" s="5">
        <v>932722678</v>
      </c>
      <c r="N15" s="5" t="s">
        <v>35</v>
      </c>
      <c r="O15" s="7">
        <f t="shared" si="0"/>
        <v>2110</v>
      </c>
      <c r="P15" s="7"/>
    </row>
    <row r="16" spans="1:16" ht="38.25" x14ac:dyDescent="0.25">
      <c r="A16" s="6">
        <v>42711.758057256942</v>
      </c>
      <c r="B16" s="5" t="s">
        <v>37</v>
      </c>
      <c r="C16" s="5">
        <v>3</v>
      </c>
      <c r="D16" s="2"/>
      <c r="E16" s="5">
        <v>0</v>
      </c>
      <c r="F16" s="5">
        <v>1</v>
      </c>
      <c r="G16" s="5">
        <v>0</v>
      </c>
      <c r="H16" s="5">
        <v>4</v>
      </c>
      <c r="I16" s="5">
        <v>4</v>
      </c>
      <c r="J16" s="5"/>
      <c r="K16" s="5" t="s">
        <v>36</v>
      </c>
      <c r="L16" s="5" t="s">
        <v>28</v>
      </c>
      <c r="M16" s="5">
        <v>952794623</v>
      </c>
      <c r="N16" s="5" t="s">
        <v>38</v>
      </c>
      <c r="O16" s="7">
        <f t="shared" si="0"/>
        <v>1890</v>
      </c>
      <c r="P16" s="7"/>
    </row>
    <row r="17" spans="1:16" x14ac:dyDescent="0.25">
      <c r="A17" s="6">
        <v>42711.914718518514</v>
      </c>
      <c r="B17" s="5" t="s">
        <v>39</v>
      </c>
      <c r="C17" s="2"/>
      <c r="D17" s="2"/>
      <c r="E17" s="2"/>
      <c r="F17" s="2"/>
      <c r="G17" s="5">
        <v>1</v>
      </c>
      <c r="H17" s="2"/>
      <c r="I17" s="5">
        <v>1</v>
      </c>
      <c r="J17" s="5"/>
      <c r="K17" s="2"/>
      <c r="L17" s="2"/>
      <c r="M17" s="5">
        <v>928403501</v>
      </c>
      <c r="N17" s="5" t="s">
        <v>40</v>
      </c>
      <c r="O17" s="7">
        <f t="shared" si="0"/>
        <v>330</v>
      </c>
      <c r="P17" s="7"/>
    </row>
    <row r="18" spans="1:16" ht="25.5" x14ac:dyDescent="0.25">
      <c r="A18" s="6">
        <v>42711.997200578699</v>
      </c>
      <c r="B18" s="5" t="s">
        <v>41</v>
      </c>
      <c r="C18" s="2"/>
      <c r="D18" s="5">
        <v>1</v>
      </c>
      <c r="E18" s="5">
        <v>1</v>
      </c>
      <c r="F18" s="2"/>
      <c r="G18" s="2"/>
      <c r="H18" s="2"/>
      <c r="I18" s="2"/>
      <c r="J18" s="2"/>
      <c r="K18" s="2"/>
      <c r="L18" s="2"/>
      <c r="M18" s="5">
        <v>933426847</v>
      </c>
      <c r="N18" s="5" t="s">
        <v>42</v>
      </c>
      <c r="O18" s="7">
        <f t="shared" si="0"/>
        <v>250</v>
      </c>
      <c r="P18" s="7"/>
    </row>
    <row r="19" spans="1:16" ht="25.5" x14ac:dyDescent="0.25">
      <c r="A19" s="6">
        <v>42712.071105324074</v>
      </c>
      <c r="B19" s="5" t="s">
        <v>43</v>
      </c>
      <c r="C19" s="2"/>
      <c r="D19" s="2"/>
      <c r="E19" s="2"/>
      <c r="F19" s="2"/>
      <c r="G19" s="2"/>
      <c r="H19" s="5">
        <v>1</v>
      </c>
      <c r="I19" s="2"/>
      <c r="J19" s="2"/>
      <c r="K19" s="2"/>
      <c r="L19" s="2"/>
      <c r="M19" s="5">
        <v>963937179</v>
      </c>
      <c r="N19" s="5" t="s">
        <v>44</v>
      </c>
      <c r="O19" s="7">
        <f t="shared" si="0"/>
        <v>180</v>
      </c>
      <c r="P19" s="7"/>
    </row>
    <row r="20" spans="1:16" x14ac:dyDescent="0.25">
      <c r="A20" s="6">
        <v>42712.526107488426</v>
      </c>
      <c r="B20" s="5" t="s">
        <v>45</v>
      </c>
      <c r="C20" s="2"/>
      <c r="D20" s="2"/>
      <c r="E20" s="5">
        <v>1</v>
      </c>
      <c r="F20" s="2"/>
      <c r="G20" s="2"/>
      <c r="H20" s="2"/>
      <c r="I20" s="2"/>
      <c r="J20" s="2"/>
      <c r="K20" s="2"/>
      <c r="L20" s="2"/>
      <c r="M20" s="5">
        <v>905186035</v>
      </c>
      <c r="N20" s="5" t="s">
        <v>46</v>
      </c>
      <c r="O20" s="7">
        <f t="shared" si="0"/>
        <v>150</v>
      </c>
      <c r="P20" s="7"/>
    </row>
    <row r="21" spans="1:16" ht="25.5" x14ac:dyDescent="0.25">
      <c r="A21" s="6">
        <v>42712.623144930556</v>
      </c>
      <c r="B21" s="5" t="s">
        <v>47</v>
      </c>
      <c r="C21" s="2"/>
      <c r="D21" s="5">
        <v>1</v>
      </c>
      <c r="E21" s="2"/>
      <c r="F21" s="2"/>
      <c r="G21" s="2"/>
      <c r="H21" s="2"/>
      <c r="I21" s="2"/>
      <c r="J21" s="2"/>
      <c r="K21" s="2"/>
      <c r="L21" s="2"/>
      <c r="M21" s="5">
        <v>975252504</v>
      </c>
      <c r="N21" s="5" t="s">
        <v>48</v>
      </c>
      <c r="O21" s="7">
        <f t="shared" si="0"/>
        <v>100</v>
      </c>
      <c r="P21" s="7"/>
    </row>
    <row r="22" spans="1:16" ht="25.5" x14ac:dyDescent="0.25">
      <c r="A22" s="6">
        <v>42712.642144525467</v>
      </c>
      <c r="B22" s="5" t="s">
        <v>49</v>
      </c>
      <c r="C22" s="2"/>
      <c r="D22" s="5">
        <v>1</v>
      </c>
      <c r="E22" s="2"/>
      <c r="F22" s="2"/>
      <c r="G22" s="5">
        <v>1</v>
      </c>
      <c r="H22" s="2"/>
      <c r="I22" s="2"/>
      <c r="J22" s="2"/>
      <c r="K22" s="2"/>
      <c r="L22" s="2"/>
      <c r="M22" s="5">
        <v>903079037</v>
      </c>
      <c r="N22" s="5" t="s">
        <v>50</v>
      </c>
      <c r="O22" s="7">
        <f t="shared" si="0"/>
        <v>250</v>
      </c>
      <c r="P22" s="7"/>
    </row>
    <row r="23" spans="1:16" x14ac:dyDescent="0.25">
      <c r="A23" s="6">
        <v>42712.658770671296</v>
      </c>
      <c r="B23" s="5" t="s">
        <v>51</v>
      </c>
      <c r="C23" s="2"/>
      <c r="D23" s="5">
        <v>1</v>
      </c>
      <c r="E23" s="5">
        <v>1</v>
      </c>
      <c r="F23" s="2"/>
      <c r="G23" s="2"/>
      <c r="H23" s="2"/>
      <c r="I23" s="2"/>
      <c r="J23" s="2"/>
      <c r="K23" s="2"/>
      <c r="L23" s="2"/>
      <c r="M23" s="5">
        <v>917830388</v>
      </c>
      <c r="N23" s="5" t="s">
        <v>52</v>
      </c>
      <c r="O23" s="7">
        <f t="shared" si="0"/>
        <v>250</v>
      </c>
      <c r="P23" s="7"/>
    </row>
    <row r="24" spans="1:16" ht="28.5" x14ac:dyDescent="0.25">
      <c r="A24" s="8">
        <v>42704</v>
      </c>
      <c r="B24" s="9" t="s">
        <v>69</v>
      </c>
      <c r="C24" s="10">
        <v>1</v>
      </c>
      <c r="D24" s="11">
        <v>1</v>
      </c>
      <c r="E24" s="12"/>
      <c r="F24" s="12"/>
      <c r="G24" s="10">
        <v>1</v>
      </c>
      <c r="H24" s="10">
        <v>1</v>
      </c>
      <c r="I24" s="10">
        <v>1</v>
      </c>
      <c r="J24" s="10"/>
      <c r="K24" s="12"/>
      <c r="L24" s="12"/>
      <c r="M24" s="12">
        <v>919636693</v>
      </c>
      <c r="N24" s="12" t="s">
        <v>70</v>
      </c>
      <c r="O24" s="7">
        <f t="shared" si="0"/>
        <v>710</v>
      </c>
      <c r="P24" s="12"/>
    </row>
    <row r="25" spans="1:16" ht="25.5" x14ac:dyDescent="0.25">
      <c r="A25" s="8">
        <v>42704</v>
      </c>
      <c r="B25" s="11" t="s">
        <v>71</v>
      </c>
      <c r="C25" s="11">
        <v>1</v>
      </c>
      <c r="D25" s="12"/>
      <c r="E25" s="10">
        <v>1</v>
      </c>
      <c r="F25" s="12"/>
      <c r="G25" s="12"/>
      <c r="H25" s="12"/>
      <c r="I25" s="12"/>
      <c r="J25" s="12"/>
      <c r="K25" s="12"/>
      <c r="L25" s="12"/>
      <c r="M25" s="12">
        <v>988632090</v>
      </c>
      <c r="N25" s="12" t="s">
        <v>72</v>
      </c>
      <c r="O25" s="7">
        <f t="shared" si="0"/>
        <v>250</v>
      </c>
      <c r="P25" s="12"/>
    </row>
    <row r="26" spans="1:16" ht="25.5" x14ac:dyDescent="0.25">
      <c r="A26" s="13">
        <v>42704</v>
      </c>
      <c r="B26" s="14" t="s">
        <v>73</v>
      </c>
      <c r="C26" s="14">
        <v>1</v>
      </c>
      <c r="D26" s="15"/>
      <c r="E26" s="15"/>
      <c r="F26" s="15"/>
      <c r="G26" s="15"/>
      <c r="H26" s="15"/>
      <c r="I26" s="15"/>
      <c r="J26" s="15"/>
      <c r="K26" s="15"/>
      <c r="L26" s="15"/>
      <c r="M26" s="15">
        <v>956869389</v>
      </c>
      <c r="N26" s="15" t="s">
        <v>74</v>
      </c>
      <c r="O26" s="7">
        <f t="shared" si="0"/>
        <v>100</v>
      </c>
      <c r="P26" s="15"/>
    </row>
    <row r="27" spans="1:16" ht="42.75" x14ac:dyDescent="0.25">
      <c r="A27" s="8">
        <v>42704</v>
      </c>
      <c r="B27" s="9" t="s">
        <v>75</v>
      </c>
      <c r="C27" s="11">
        <v>1</v>
      </c>
      <c r="D27" s="11">
        <v>6</v>
      </c>
      <c r="E27" s="10">
        <v>1</v>
      </c>
      <c r="F27" s="11">
        <v>1</v>
      </c>
      <c r="G27" s="12"/>
      <c r="H27" s="10">
        <v>1</v>
      </c>
      <c r="I27" s="12"/>
      <c r="J27" s="12"/>
      <c r="K27" s="12" t="s">
        <v>76</v>
      </c>
      <c r="L27" s="16" t="s">
        <v>77</v>
      </c>
      <c r="M27" s="12">
        <v>905297634</v>
      </c>
      <c r="N27" s="12" t="s">
        <v>78</v>
      </c>
      <c r="O27" s="7">
        <f t="shared" si="0"/>
        <v>1180</v>
      </c>
      <c r="P27" s="12"/>
    </row>
    <row r="28" spans="1:16" ht="25.5" x14ac:dyDescent="0.25">
      <c r="A28" s="8">
        <v>42705</v>
      </c>
      <c r="B28" s="12" t="s">
        <v>79</v>
      </c>
      <c r="C28" s="12"/>
      <c r="D28" s="12"/>
      <c r="E28" s="12"/>
      <c r="F28" s="11">
        <v>1</v>
      </c>
      <c r="G28" s="11">
        <v>1</v>
      </c>
      <c r="H28" s="12"/>
      <c r="I28" s="12"/>
      <c r="J28" s="12"/>
      <c r="K28" s="12"/>
      <c r="L28" s="12"/>
      <c r="M28" s="12">
        <v>963759336</v>
      </c>
      <c r="N28" s="12" t="s">
        <v>80</v>
      </c>
      <c r="O28" s="7">
        <f t="shared" si="0"/>
        <v>300</v>
      </c>
      <c r="P28" s="12"/>
    </row>
    <row r="29" spans="1:16" x14ac:dyDescent="0.25">
      <c r="A29" s="8">
        <v>42705</v>
      </c>
      <c r="B29" s="11" t="s">
        <v>81</v>
      </c>
      <c r="C29" s="11">
        <v>1</v>
      </c>
      <c r="D29" s="12"/>
      <c r="E29" s="12"/>
      <c r="F29" s="12"/>
      <c r="G29" s="12"/>
      <c r="H29" s="12"/>
      <c r="I29" s="12"/>
      <c r="J29" s="12"/>
      <c r="K29" s="12"/>
      <c r="L29" s="12"/>
      <c r="M29" s="12">
        <v>970803540</v>
      </c>
      <c r="N29" s="12" t="s">
        <v>82</v>
      </c>
      <c r="O29" s="7">
        <f t="shared" si="0"/>
        <v>100</v>
      </c>
      <c r="P29" s="12"/>
    </row>
    <row r="30" spans="1:16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7"/>
      <c r="P30" s="18"/>
    </row>
    <row r="31" spans="1:16" x14ac:dyDescent="0.25">
      <c r="A31" s="18"/>
      <c r="B31" s="18" t="s">
        <v>68</v>
      </c>
      <c r="C31" s="18">
        <f>SUM(C2:C29)</f>
        <v>28</v>
      </c>
      <c r="D31" s="18">
        <f t="shared" ref="D31:J31" si="1">SUM(D2:D29)</f>
        <v>16</v>
      </c>
      <c r="E31" s="18">
        <f t="shared" si="1"/>
        <v>17</v>
      </c>
      <c r="F31" s="18">
        <f t="shared" si="1"/>
        <v>10</v>
      </c>
      <c r="G31" s="18">
        <f t="shared" si="1"/>
        <v>10</v>
      </c>
      <c r="H31" s="18">
        <f t="shared" si="1"/>
        <v>28</v>
      </c>
      <c r="I31" s="18">
        <f t="shared" si="1"/>
        <v>16</v>
      </c>
      <c r="J31" s="18">
        <f t="shared" si="1"/>
        <v>3</v>
      </c>
      <c r="K31" s="18"/>
      <c r="L31" s="18" t="s">
        <v>83</v>
      </c>
      <c r="M31" s="18"/>
      <c r="N31" s="18"/>
      <c r="O31" s="7">
        <f>SUM(O2:O23)</f>
        <v>15680</v>
      </c>
      <c r="P31" s="1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2016-12-09T00:30:44Z</dcterms:created>
  <dcterms:modified xsi:type="dcterms:W3CDTF">2016-12-10T14:49:45Z</dcterms:modified>
</cp:coreProperties>
</file>